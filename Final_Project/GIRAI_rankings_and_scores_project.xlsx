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DataAnalytics\DSN_GIRAI_Dataset\Final_Project\"/>
    </mc:Choice>
  </mc:AlternateContent>
  <xr:revisionPtr revIDLastSave="0" documentId="13_ncr:1_{AD849A89-89F5-4D1E-94EA-012B279A40FD}" xr6:coauthVersionLast="47" xr6:coauthVersionMax="47" xr10:uidLastSave="{00000000-0000-0000-0000-000000000000}"/>
  <bookViews>
    <workbookView xWindow="-110" yWindow="-110" windowWidth="19420" windowHeight="11020" firstSheet="1" activeTab="3" xr2:uid="{00000000-000D-0000-FFFF-FFFF00000000}"/>
  </bookViews>
  <sheets>
    <sheet name="ranking_and_scores" sheetId="1" r:id="rId1"/>
    <sheet name="country_classifications" sheetId="4" r:id="rId2"/>
    <sheet name="pillar_scores_by_dimension" sheetId="2" r:id="rId3"/>
    <sheet name="all_indicators" sheetId="3" r:id="rId4"/>
  </sheets>
  <externalReferences>
    <externalReference r:id="rId5"/>
  </externalReferences>
  <definedNames>
    <definedName name="_xlnm._FilterDatabase" localSheetId="3" hidden="1">all_indicators!$A$1:$AQ$136</definedName>
    <definedName name="_xlnm._FilterDatabase" localSheetId="1" hidden="1">country_classifications!$A$1:$G$136</definedName>
    <definedName name="_xlnm._FilterDatabase" localSheetId="2" hidden="1">pillar_scores_by_dimension!$A$1:$S$136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vyQktV7OfdHLx5u/JcTP+Pyti2kLHoD6A7RoPXw5Z2E="/>
    </ext>
  </extLst>
</workbook>
</file>

<file path=xl/calcChain.xml><?xml version="1.0" encoding="utf-8"?>
<calcChain xmlns="http://schemas.openxmlformats.org/spreadsheetml/2006/main">
  <c r="AQ3" i="3" l="1"/>
  <c r="AQ4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Q19" i="3"/>
  <c r="AQ20" i="3"/>
  <c r="AQ21" i="3"/>
  <c r="AQ22" i="3"/>
  <c r="AQ23" i="3"/>
  <c r="AQ24" i="3"/>
  <c r="AQ25" i="3"/>
  <c r="AQ26" i="3"/>
  <c r="AQ27" i="3"/>
  <c r="AQ28" i="3"/>
  <c r="AQ29" i="3"/>
  <c r="AQ30" i="3"/>
  <c r="AQ31" i="3"/>
  <c r="AQ32" i="3"/>
  <c r="AQ33" i="3"/>
  <c r="AQ34" i="3"/>
  <c r="AQ35" i="3"/>
  <c r="AQ36" i="3"/>
  <c r="AQ37" i="3"/>
  <c r="AQ38" i="3"/>
  <c r="AQ39" i="3"/>
  <c r="AQ40" i="3"/>
  <c r="AQ41" i="3"/>
  <c r="AQ42" i="3"/>
  <c r="AQ43" i="3"/>
  <c r="AQ44" i="3"/>
  <c r="AQ45" i="3"/>
  <c r="AQ46" i="3"/>
  <c r="AQ47" i="3"/>
  <c r="AQ48" i="3"/>
  <c r="AQ49" i="3"/>
  <c r="AQ50" i="3"/>
  <c r="AQ51" i="3"/>
  <c r="AQ52" i="3"/>
  <c r="AQ53" i="3"/>
  <c r="AQ54" i="3"/>
  <c r="AQ55" i="3"/>
  <c r="AQ56" i="3"/>
  <c r="AQ57" i="3"/>
  <c r="AQ58" i="3"/>
  <c r="AQ59" i="3"/>
  <c r="AQ60" i="3"/>
  <c r="AQ61" i="3"/>
  <c r="AQ62" i="3"/>
  <c r="AQ63" i="3"/>
  <c r="AQ64" i="3"/>
  <c r="AQ65" i="3"/>
  <c r="AQ66" i="3"/>
  <c r="AQ67" i="3"/>
  <c r="AQ68" i="3"/>
  <c r="AQ69" i="3"/>
  <c r="AQ70" i="3"/>
  <c r="AQ71" i="3"/>
  <c r="AQ72" i="3"/>
  <c r="AQ73" i="3"/>
  <c r="AQ74" i="3"/>
  <c r="AQ75" i="3"/>
  <c r="AQ76" i="3"/>
  <c r="AQ77" i="3"/>
  <c r="AQ78" i="3"/>
  <c r="AQ79" i="3"/>
  <c r="AQ80" i="3"/>
  <c r="AQ81" i="3"/>
  <c r="AQ82" i="3"/>
  <c r="AQ83" i="3"/>
  <c r="AQ84" i="3"/>
  <c r="AQ85" i="3"/>
  <c r="AQ86" i="3"/>
  <c r="AQ87" i="3"/>
  <c r="AQ88" i="3"/>
  <c r="AQ89" i="3"/>
  <c r="AQ90" i="3"/>
  <c r="AQ91" i="3"/>
  <c r="AQ92" i="3"/>
  <c r="AQ93" i="3"/>
  <c r="AQ94" i="3"/>
  <c r="AQ95" i="3"/>
  <c r="AQ96" i="3"/>
  <c r="AQ97" i="3"/>
  <c r="AQ98" i="3"/>
  <c r="AQ99" i="3"/>
  <c r="AQ100" i="3"/>
  <c r="AQ101" i="3"/>
  <c r="AQ102" i="3"/>
  <c r="AQ103" i="3"/>
  <c r="AQ104" i="3"/>
  <c r="AQ105" i="3"/>
  <c r="AQ106" i="3"/>
  <c r="AQ107" i="3"/>
  <c r="AQ108" i="3"/>
  <c r="AQ109" i="3"/>
  <c r="AQ110" i="3"/>
  <c r="AQ111" i="3"/>
  <c r="AQ112" i="3"/>
  <c r="AQ113" i="3"/>
  <c r="AQ114" i="3"/>
  <c r="AQ115" i="3"/>
  <c r="AQ116" i="3"/>
  <c r="AQ117" i="3"/>
  <c r="AQ118" i="3"/>
  <c r="AQ119" i="3"/>
  <c r="AQ120" i="3"/>
  <c r="AQ121" i="3"/>
  <c r="AQ122" i="3"/>
  <c r="AQ123" i="3"/>
  <c r="AQ124" i="3"/>
  <c r="AQ125" i="3"/>
  <c r="AQ126" i="3"/>
  <c r="AQ127" i="3"/>
  <c r="AQ128" i="3"/>
  <c r="AQ129" i="3"/>
  <c r="AQ130" i="3"/>
  <c r="AQ131" i="3"/>
  <c r="AQ132" i="3"/>
  <c r="AQ133" i="3"/>
  <c r="AQ134" i="3"/>
  <c r="AQ135" i="3"/>
  <c r="AQ136" i="3"/>
  <c r="AQ2" i="3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2" i="2"/>
</calcChain>
</file>

<file path=xl/sharedStrings.xml><?xml version="1.0" encoding="utf-8"?>
<sst xmlns="http://schemas.openxmlformats.org/spreadsheetml/2006/main" count="1821" uniqueCount="376">
  <si>
    <t>ranking</t>
  </si>
  <si>
    <t>iso3</t>
  </si>
  <si>
    <t>country</t>
  </si>
  <si>
    <t>region</t>
  </si>
  <si>
    <t>girai</t>
  </si>
  <si>
    <t>girai_raw</t>
  </si>
  <si>
    <t>urai_penalty</t>
  </si>
  <si>
    <t>DIMENSIONS SCORES</t>
  </si>
  <si>
    <t>PILLAR SCORES</t>
  </si>
  <si>
    <t>Inclusion and Diversity (0-100)</t>
  </si>
  <si>
    <t>Ethics and Sustainability (0-100)</t>
  </si>
  <si>
    <t>Labour and Skills (0-100)</t>
  </si>
  <si>
    <t>Trust and Safety (0-100)</t>
  </si>
  <si>
    <t>AI Use in Public Service (0-100)</t>
  </si>
  <si>
    <t>AI Policy (0-100)</t>
  </si>
  <si>
    <t>CSO Engagement (0-100)</t>
  </si>
  <si>
    <t>Enabling Conditions (0-100)</t>
  </si>
  <si>
    <t>NOR</t>
  </si>
  <si>
    <t>Norway</t>
  </si>
  <si>
    <t>Europe</t>
  </si>
  <si>
    <t>ITA</t>
  </si>
  <si>
    <t>Italy</t>
  </si>
  <si>
    <t>IRL</t>
  </si>
  <si>
    <t>Ireland</t>
  </si>
  <si>
    <t>FRA</t>
  </si>
  <si>
    <t>France</t>
  </si>
  <si>
    <t>NLD</t>
  </si>
  <si>
    <t>Netherlands</t>
  </si>
  <si>
    <t>DEU</t>
  </si>
  <si>
    <t>Germany</t>
  </si>
  <si>
    <t>GBR</t>
  </si>
  <si>
    <t>United Kingdom of Great Britain and Northern Ireland</t>
  </si>
  <si>
    <t>SVN</t>
  </si>
  <si>
    <t>Slovenia</t>
  </si>
  <si>
    <t>LVA</t>
  </si>
  <si>
    <t>Latvia</t>
  </si>
  <si>
    <t>EST</t>
  </si>
  <si>
    <t>Estonia</t>
  </si>
  <si>
    <t>BRA</t>
  </si>
  <si>
    <t>Brazil</t>
  </si>
  <si>
    <t>South and Central America</t>
  </si>
  <si>
    <t>ESP</t>
  </si>
  <si>
    <t>Spain</t>
  </si>
  <si>
    <t>GRC</t>
  </si>
  <si>
    <t>Greece</t>
  </si>
  <si>
    <t>CHL</t>
  </si>
  <si>
    <t>Chile</t>
  </si>
  <si>
    <t>BGR</t>
  </si>
  <si>
    <t>Bulgaria</t>
  </si>
  <si>
    <t>BEL</t>
  </si>
  <si>
    <t>Belgium</t>
  </si>
  <si>
    <t>POL</t>
  </si>
  <si>
    <t>Poland</t>
  </si>
  <si>
    <t>PRT</t>
  </si>
  <si>
    <t>Portugal</t>
  </si>
  <si>
    <t>CHE</t>
  </si>
  <si>
    <t>Switzerland</t>
  </si>
  <si>
    <t>AUT</t>
  </si>
  <si>
    <t>Austria</t>
  </si>
  <si>
    <t>LTU</t>
  </si>
  <si>
    <t>Lithuania</t>
  </si>
  <si>
    <t>URY</t>
  </si>
  <si>
    <t>Uruguay</t>
  </si>
  <si>
    <t>AUS</t>
  </si>
  <si>
    <t>Australia</t>
  </si>
  <si>
    <t>Asia and Oceania</t>
  </si>
  <si>
    <t>JPN</t>
  </si>
  <si>
    <t>Japan</t>
  </si>
  <si>
    <t>CAN</t>
  </si>
  <si>
    <t>Canada</t>
  </si>
  <si>
    <t>Northern America</t>
  </si>
  <si>
    <t>COL</t>
  </si>
  <si>
    <t>Colombia</t>
  </si>
  <si>
    <t>USA</t>
  </si>
  <si>
    <t>United States of America</t>
  </si>
  <si>
    <t>CRI</t>
  </si>
  <si>
    <t>Costa Rica</t>
  </si>
  <si>
    <t>HUN</t>
  </si>
  <si>
    <t>Hungary</t>
  </si>
  <si>
    <t>ROU</t>
  </si>
  <si>
    <t>Romania</t>
  </si>
  <si>
    <t>KGZ</t>
  </si>
  <si>
    <t>Kyrgyz Republic</t>
  </si>
  <si>
    <t>SVK</t>
  </si>
  <si>
    <t>Slovakia</t>
  </si>
  <si>
    <t>SRB</t>
  </si>
  <si>
    <t>Serbia</t>
  </si>
  <si>
    <t>PER</t>
  </si>
  <si>
    <t>Peru</t>
  </si>
  <si>
    <t>HRV</t>
  </si>
  <si>
    <t>Croatia</t>
  </si>
  <si>
    <t>DOM</t>
  </si>
  <si>
    <t>Dominican Republic</t>
  </si>
  <si>
    <t>Caribbean</t>
  </si>
  <si>
    <t>KOR</t>
  </si>
  <si>
    <t>South Korea</t>
  </si>
  <si>
    <t>NGA</t>
  </si>
  <si>
    <t>Nigeria</t>
  </si>
  <si>
    <t>Africa</t>
  </si>
  <si>
    <t>NZL</t>
  </si>
  <si>
    <t>New Zealand</t>
  </si>
  <si>
    <t>SGP</t>
  </si>
  <si>
    <t>Singapore</t>
  </si>
  <si>
    <t>ISR</t>
  </si>
  <si>
    <t>Israel</t>
  </si>
  <si>
    <t>Middle East</t>
  </si>
  <si>
    <t>CHN</t>
  </si>
  <si>
    <t>China</t>
  </si>
  <si>
    <t>HKG</t>
  </si>
  <si>
    <t>China Hong Kong Special Administrative Region</t>
  </si>
  <si>
    <t>UKR</t>
  </si>
  <si>
    <t>Ukraine</t>
  </si>
  <si>
    <t>MDA</t>
  </si>
  <si>
    <t>Republic of Moldova</t>
  </si>
  <si>
    <t>IND</t>
  </si>
  <si>
    <t>India</t>
  </si>
  <si>
    <t>VNM</t>
  </si>
  <si>
    <t>Viet Nam</t>
  </si>
  <si>
    <t>EGY</t>
  </si>
  <si>
    <t>Egypt</t>
  </si>
  <si>
    <t>JOR</t>
  </si>
  <si>
    <t>Jordan</t>
  </si>
  <si>
    <t>KEN</t>
  </si>
  <si>
    <t>Kenya</t>
  </si>
  <si>
    <t>PAK</t>
  </si>
  <si>
    <t>Pakistan</t>
  </si>
  <si>
    <t>QAT</t>
  </si>
  <si>
    <t>Qatar</t>
  </si>
  <si>
    <t>IDN</t>
  </si>
  <si>
    <t>Indonesia</t>
  </si>
  <si>
    <t>MYS</t>
  </si>
  <si>
    <t>Malaysia</t>
  </si>
  <si>
    <t>ARE</t>
  </si>
  <si>
    <t>United Arab Emirates</t>
  </si>
  <si>
    <t>GHA</t>
  </si>
  <si>
    <t>Ghana</t>
  </si>
  <si>
    <t>NPL</t>
  </si>
  <si>
    <t>Nepal</t>
  </si>
  <si>
    <t>MKD</t>
  </si>
  <si>
    <t>North Macedonia</t>
  </si>
  <si>
    <t>BEN</t>
  </si>
  <si>
    <t>Benin</t>
  </si>
  <si>
    <t>THA</t>
  </si>
  <si>
    <t>Thailand</t>
  </si>
  <si>
    <t>SLV</t>
  </si>
  <si>
    <t>El Salvador</t>
  </si>
  <si>
    <t>OMN</t>
  </si>
  <si>
    <t>Oman</t>
  </si>
  <si>
    <t>MAR</t>
  </si>
  <si>
    <t>Morocco</t>
  </si>
  <si>
    <t>CIV</t>
  </si>
  <si>
    <t>Cote d'Ivoire</t>
  </si>
  <si>
    <t>ARG</t>
  </si>
  <si>
    <t>Argentina</t>
  </si>
  <si>
    <t>RWA</t>
  </si>
  <si>
    <t>Rwanda</t>
  </si>
  <si>
    <t>SAU</t>
  </si>
  <si>
    <t>Saudi Arabia</t>
  </si>
  <si>
    <t>PHL</t>
  </si>
  <si>
    <t>Philippines</t>
  </si>
  <si>
    <t>GEO</t>
  </si>
  <si>
    <t>Georgia</t>
  </si>
  <si>
    <t>KAZ</t>
  </si>
  <si>
    <t>Kazakhstan</t>
  </si>
  <si>
    <t>ALB</t>
  </si>
  <si>
    <t>Albania</t>
  </si>
  <si>
    <t>LKA</t>
  </si>
  <si>
    <t>Sri Lanka</t>
  </si>
  <si>
    <t>ETH</t>
  </si>
  <si>
    <t>Ethiopia</t>
  </si>
  <si>
    <t>SEN</t>
  </si>
  <si>
    <t>Senegal</t>
  </si>
  <si>
    <t>BHR</t>
  </si>
  <si>
    <t>Bahrain</t>
  </si>
  <si>
    <t>AZE</t>
  </si>
  <si>
    <t>Azerbaijan</t>
  </si>
  <si>
    <t>ZAF</t>
  </si>
  <si>
    <t>South Africa</t>
  </si>
  <si>
    <t>LBY</t>
  </si>
  <si>
    <t>Libya</t>
  </si>
  <si>
    <t>ZMB</t>
  </si>
  <si>
    <t>Zambia</t>
  </si>
  <si>
    <t>GMB</t>
  </si>
  <si>
    <t>Gambia</t>
  </si>
  <si>
    <t>MEX</t>
  </si>
  <si>
    <t>Mexico</t>
  </si>
  <si>
    <t>MNE</t>
  </si>
  <si>
    <t>Montenegro</t>
  </si>
  <si>
    <t>UZB</t>
  </si>
  <si>
    <t>Uzbekistan</t>
  </si>
  <si>
    <t>MUS</t>
  </si>
  <si>
    <t>Mauritius</t>
  </si>
  <si>
    <t>PRY</t>
  </si>
  <si>
    <t>Paraguay</t>
  </si>
  <si>
    <t>TTO</t>
  </si>
  <si>
    <t>Trinidad and Tobago</t>
  </si>
  <si>
    <t>PAN</t>
  </si>
  <si>
    <t>Panama</t>
  </si>
  <si>
    <t>JAM</t>
  </si>
  <si>
    <t>Jamaica</t>
  </si>
  <si>
    <t>KHM</t>
  </si>
  <si>
    <t>Cambodia</t>
  </si>
  <si>
    <t>KWT</t>
  </si>
  <si>
    <t>Kuwait</t>
  </si>
  <si>
    <t>BTN</t>
  </si>
  <si>
    <t>Bhutan</t>
  </si>
  <si>
    <t>BWA</t>
  </si>
  <si>
    <t>Botswana</t>
  </si>
  <si>
    <t>TZA</t>
  </si>
  <si>
    <t>United Republic of Tanzania</t>
  </si>
  <si>
    <t>LSO</t>
  </si>
  <si>
    <t>Lesotho</t>
  </si>
  <si>
    <t>ARM</t>
  </si>
  <si>
    <t>Armenia</t>
  </si>
  <si>
    <t>ECU</t>
  </si>
  <si>
    <t>Ecuador</t>
  </si>
  <si>
    <t>MNG</t>
  </si>
  <si>
    <t>Mongolia</t>
  </si>
  <si>
    <t>PSE</t>
  </si>
  <si>
    <t>State of Palestine</t>
  </si>
  <si>
    <t>BRB</t>
  </si>
  <si>
    <t>Barbados</t>
  </si>
  <si>
    <t>MWI</t>
  </si>
  <si>
    <t>Malawi</t>
  </si>
  <si>
    <t>BGD</t>
  </si>
  <si>
    <t>Bangladesh</t>
  </si>
  <si>
    <t>AGO</t>
  </si>
  <si>
    <t>Angola</t>
  </si>
  <si>
    <t>XKX</t>
  </si>
  <si>
    <t>Kosovo</t>
  </si>
  <si>
    <t>TJK</t>
  </si>
  <si>
    <t>Tajikistan</t>
  </si>
  <si>
    <t>BLZ</t>
  </si>
  <si>
    <t>Belize</t>
  </si>
  <si>
    <t>ATG</t>
  </si>
  <si>
    <t>Antigua and Barbuda</t>
  </si>
  <si>
    <t>UGA</t>
  </si>
  <si>
    <t>Uganda</t>
  </si>
  <si>
    <t>BOL</t>
  </si>
  <si>
    <t>Bolivia (Plurinational State of)</t>
  </si>
  <si>
    <t>LCA</t>
  </si>
  <si>
    <t>Saint Lucia</t>
  </si>
  <si>
    <t>TUN</t>
  </si>
  <si>
    <t>Tunisia</t>
  </si>
  <si>
    <t>BLR</t>
  </si>
  <si>
    <t>Belarus</t>
  </si>
  <si>
    <t>HND</t>
  </si>
  <si>
    <t>Honduras</t>
  </si>
  <si>
    <t>ZWE</t>
  </si>
  <si>
    <t>Zimbabwe</t>
  </si>
  <si>
    <t>SLE</t>
  </si>
  <si>
    <t>Sierra Leone</t>
  </si>
  <si>
    <t>LBN</t>
  </si>
  <si>
    <t>Lebanon</t>
  </si>
  <si>
    <t>LAO</t>
  </si>
  <si>
    <t>Lao People's Democratic Republic</t>
  </si>
  <si>
    <t>TGO</t>
  </si>
  <si>
    <t>Togo</t>
  </si>
  <si>
    <t>GIN</t>
  </si>
  <si>
    <t>Guinea</t>
  </si>
  <si>
    <t>CMR</t>
  </si>
  <si>
    <t>Cameroon</t>
  </si>
  <si>
    <t>MOZ</t>
  </si>
  <si>
    <t>Mozambique</t>
  </si>
  <si>
    <t>BFA</t>
  </si>
  <si>
    <t>Burkina Faso</t>
  </si>
  <si>
    <t>LBR</t>
  </si>
  <si>
    <t>Liberia</t>
  </si>
  <si>
    <t>DZA</t>
  </si>
  <si>
    <t>Algeria</t>
  </si>
  <si>
    <t>SOM</t>
  </si>
  <si>
    <t>Somalia</t>
  </si>
  <si>
    <t>NER</t>
  </si>
  <si>
    <t>Niger</t>
  </si>
  <si>
    <t>MMR</t>
  </si>
  <si>
    <t>Myanmar</t>
  </si>
  <si>
    <t>TKM</t>
  </si>
  <si>
    <t>Turkmenistan</t>
  </si>
  <si>
    <t>COD</t>
  </si>
  <si>
    <t>Democratic Republic of the Congo</t>
  </si>
  <si>
    <t>CAF</t>
  </si>
  <si>
    <t>Central African Republic</t>
  </si>
  <si>
    <t>HTI</t>
  </si>
  <si>
    <t>Haiti</t>
  </si>
  <si>
    <t>COG</t>
  </si>
  <si>
    <t>Congo</t>
  </si>
  <si>
    <t>BDI</t>
  </si>
  <si>
    <t>Burundi</t>
  </si>
  <si>
    <t>TCD</t>
  </si>
  <si>
    <t>Chad</t>
  </si>
  <si>
    <t>AFG</t>
  </si>
  <si>
    <t>Afghanistan</t>
  </si>
  <si>
    <t>SSD</t>
  </si>
  <si>
    <t>South Sudan</t>
  </si>
  <si>
    <t>AI Policy in Inclusion and Diversity (0-100)</t>
  </si>
  <si>
    <t>CSO Engagement in Inclusion and Diversity (0-100)</t>
  </si>
  <si>
    <t>Enabling Conditions in Inclusion and Diversity (0-100)</t>
  </si>
  <si>
    <t>AI Policy in Ethics and Sustainability (0-100)</t>
  </si>
  <si>
    <t>CSO Engagement in Ethics and Sustainability (0-100)</t>
  </si>
  <si>
    <t>Enabling Conditions in Ethics and Sustainability (0-100)</t>
  </si>
  <si>
    <t>AI Policy in Labour and Skills (0-100)</t>
  </si>
  <si>
    <t>CSO Engagement in Labour and Skills (0-100)</t>
  </si>
  <si>
    <t>Enabling Conditions in Labour and Skills (0-100)</t>
  </si>
  <si>
    <t>AI Policy in Trust and Safety (0-100)</t>
  </si>
  <si>
    <t>CSO Engagement in Trust and Safety (0-100)</t>
  </si>
  <si>
    <t>Enabling Conditions in Trust and Safety (0-100)</t>
  </si>
  <si>
    <t>AI Policy in AI Use in Public Service (0-100)</t>
  </si>
  <si>
    <t>CSO Engagement in AI Use in Public Service (0-100)</t>
  </si>
  <si>
    <t>Enabling Conditions in AI Use in Public Service (0-100)</t>
  </si>
  <si>
    <t>Gender Equality</t>
  </si>
  <si>
    <t>Children's Rights</t>
  </si>
  <si>
    <t>Cultural and Linguistic Diversity</t>
  </si>
  <si>
    <t>Fairness and Non-discrimination</t>
  </si>
  <si>
    <t>Transparency and Explainability</t>
  </si>
  <si>
    <t>Human Oversight and Determination</t>
  </si>
  <si>
    <t>Environmental Impact</t>
  </si>
  <si>
    <t>Labour Protections</t>
  </si>
  <si>
    <t>Reskilling and upskilling initiatives</t>
  </si>
  <si>
    <t>AI Literacy</t>
  </si>
  <si>
    <t>Safety and Security</t>
  </si>
  <si>
    <t>Access to Redress and Remedy</t>
  </si>
  <si>
    <t>Impact Assessments</t>
  </si>
  <si>
    <t>AI-facilitated Misinformation and Violence</t>
  </si>
  <si>
    <t>Public Sector Skills Development</t>
  </si>
  <si>
    <t>Public Disclosure of Government Algorithmic Systems</t>
  </si>
  <si>
    <t>Public Procurement</t>
  </si>
  <si>
    <t>Civil Society Engagement in Inclusion and Diversity</t>
  </si>
  <si>
    <t>Civil Society Engagement in Ethics and Sustainability</t>
  </si>
  <si>
    <t>Civil Society Engagement in Labour and Skills</t>
  </si>
  <si>
    <t>Civil Society Engagement in Trust and Safety</t>
  </si>
  <si>
    <t>Government Mechanisms for CSO Inclusion in AI Policy and Governance</t>
  </si>
  <si>
    <t>Egalitarian Democracy</t>
  </si>
  <si>
    <t>Device affordability</t>
  </si>
  <si>
    <t>Gender gap in mobile internet</t>
  </si>
  <si>
    <t>Low-Carbon Energy Share</t>
  </si>
  <si>
    <t>Rule of Law</t>
  </si>
  <si>
    <t>Skills and Literacy</t>
  </si>
  <si>
    <t>Labour Rights Compliance</t>
  </si>
  <si>
    <t>Cybersecurity</t>
  </si>
  <si>
    <t>Data Protection and Privacy</t>
  </si>
  <si>
    <t>Data Sharing and Access</t>
  </si>
  <si>
    <t>Consumer Protection</t>
  </si>
  <si>
    <t>Global Peace</t>
  </si>
  <si>
    <t>Civil Society Accountability</t>
  </si>
  <si>
    <t>Public Service Delivery</t>
  </si>
  <si>
    <t>Access to Public Information</t>
  </si>
  <si>
    <t>URAI Penalty</t>
  </si>
  <si>
    <t>ISO3</t>
  </si>
  <si>
    <t>subregion</t>
  </si>
  <si>
    <t>developing_status</t>
  </si>
  <si>
    <t>WB_income_group</t>
  </si>
  <si>
    <t>GDP_per_capita_PPP</t>
  </si>
  <si>
    <t>South West Asia</t>
  </si>
  <si>
    <t>Developing</t>
  </si>
  <si>
    <t>Low income</t>
  </si>
  <si>
    <t>Balkans (South East Europe)</t>
  </si>
  <si>
    <t>Developed</t>
  </si>
  <si>
    <t>Upper middle income</t>
  </si>
  <si>
    <t>North Africa</t>
  </si>
  <si>
    <t>Lower middle income</t>
  </si>
  <si>
    <t>High income</t>
  </si>
  <si>
    <t>South America</t>
  </si>
  <si>
    <t>NorthWest Asia</t>
  </si>
  <si>
    <t>Oceania (Pacific)</t>
  </si>
  <si>
    <t>Western Europe</t>
  </si>
  <si>
    <t>Eastern Europe</t>
  </si>
  <si>
    <t>West Africa</t>
  </si>
  <si>
    <t>East Africa</t>
  </si>
  <si>
    <t>South East Asia</t>
  </si>
  <si>
    <t>Central Africa</t>
  </si>
  <si>
    <t>East Asia</t>
  </si>
  <si>
    <t>Central America</t>
  </si>
  <si>
    <t>North Europe</t>
  </si>
  <si>
    <t>Central Europe</t>
  </si>
  <si>
    <t>African_Countries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</si>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</sst>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1" fontId="3" fillId="0" borderId="0" xfId="0" applyNumberFormat="1" applyFont="1"/>
    <xf numFmtId="49" fontId="3" fillId="0" borderId="0" xfId="0" applyNumberFormat="1" applyFont="1"/>
    <xf numFmtId="0" fontId="4" fillId="0" borderId="0" xfId="0" applyFont="1"/>
    <xf numFmtId="2" fontId="3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/>
    <xf numFmtId="0" fontId="2" fillId="0" borderId="2" xfId="0" applyFont="1" applyFill="1" applyBorder="1" applyAlignment="1">
      <alignment horizontal="center" vertical="top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Africa_Only.xlsx" TargetMode="External"/><Relationship Id="rId2" Type="http://schemas.openxmlformats.org/officeDocument/2006/relationships/externalLinkPath" Target="file:///C:\Users\hp\Desktop\DataAnalytics\DSN_GIRAI_Dataset\Africa_Only.xlsx" TargetMode="External"/><Relationship Id="rId1" Type="http://schemas.openxmlformats.org/officeDocument/2006/relationships/externalLinkPath" Target="/Users/hp/Desktop/DataAnalytics/DSN_GIRAI_Dataset/Africa_On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untry_Classifications"/>
      <sheetName val="Ranking_and_Scores"/>
      <sheetName val="pillar_scores_by_dimension"/>
      <sheetName val="all_indicators"/>
    </sheetNames>
    <sheetDataSet>
      <sheetData sheetId="0">
        <row r="2">
          <cell r="B2" t="str">
            <v>DZA</v>
          </cell>
        </row>
        <row r="3">
          <cell r="B3" t="str">
            <v>AGO</v>
          </cell>
        </row>
        <row r="4">
          <cell r="B4" t="str">
            <v>BEN</v>
          </cell>
        </row>
        <row r="5">
          <cell r="B5" t="str">
            <v>BWA</v>
          </cell>
        </row>
        <row r="6">
          <cell r="B6" t="str">
            <v>BFA</v>
          </cell>
        </row>
        <row r="7">
          <cell r="B7" t="str">
            <v>BDI</v>
          </cell>
        </row>
        <row r="8">
          <cell r="B8" t="str">
            <v>CMR</v>
          </cell>
        </row>
        <row r="9">
          <cell r="B9" t="str">
            <v>CAF</v>
          </cell>
        </row>
        <row r="10">
          <cell r="B10" t="str">
            <v>TCD</v>
          </cell>
        </row>
        <row r="11">
          <cell r="B11" t="str">
            <v>COG</v>
          </cell>
        </row>
        <row r="12">
          <cell r="B12" t="str">
            <v>CIV</v>
          </cell>
        </row>
        <row r="13">
          <cell r="B13" t="str">
            <v>COD</v>
          </cell>
        </row>
        <row r="14">
          <cell r="B14" t="str">
            <v>EGY</v>
          </cell>
        </row>
        <row r="15">
          <cell r="B15" t="str">
            <v>ETH</v>
          </cell>
        </row>
        <row r="16">
          <cell r="B16" t="str">
            <v>GMB</v>
          </cell>
        </row>
        <row r="17">
          <cell r="B17" t="str">
            <v>GHA</v>
          </cell>
        </row>
        <row r="18">
          <cell r="B18" t="str">
            <v>GIN</v>
          </cell>
        </row>
        <row r="19">
          <cell r="B19" t="str">
            <v>KEN</v>
          </cell>
        </row>
        <row r="20">
          <cell r="B20" t="str">
            <v>LSO</v>
          </cell>
        </row>
        <row r="21">
          <cell r="B21" t="str">
            <v>LBR</v>
          </cell>
        </row>
        <row r="22">
          <cell r="B22" t="str">
            <v>LBY</v>
          </cell>
        </row>
        <row r="23">
          <cell r="B23" t="str">
            <v>MWI</v>
          </cell>
        </row>
        <row r="24">
          <cell r="B24" t="str">
            <v>MUS</v>
          </cell>
        </row>
        <row r="25">
          <cell r="B25" t="str">
            <v>MAR</v>
          </cell>
        </row>
        <row r="26">
          <cell r="B26" t="str">
            <v>MOZ</v>
          </cell>
        </row>
        <row r="27">
          <cell r="B27" t="str">
            <v>NER</v>
          </cell>
        </row>
        <row r="28">
          <cell r="B28" t="str">
            <v>NGA</v>
          </cell>
        </row>
        <row r="29">
          <cell r="B29" t="str">
            <v>RWA</v>
          </cell>
        </row>
        <row r="30">
          <cell r="B30" t="str">
            <v>SEN</v>
          </cell>
        </row>
        <row r="31">
          <cell r="B31" t="str">
            <v>SLE</v>
          </cell>
        </row>
        <row r="32">
          <cell r="B32" t="str">
            <v>SOM</v>
          </cell>
        </row>
        <row r="33">
          <cell r="B33" t="str">
            <v>ZAF</v>
          </cell>
        </row>
        <row r="34">
          <cell r="B34" t="str">
            <v>SSD</v>
          </cell>
        </row>
        <row r="35">
          <cell r="B35" t="str">
            <v>TGO</v>
          </cell>
        </row>
        <row r="36">
          <cell r="B36" t="str">
            <v>TUN</v>
          </cell>
        </row>
        <row r="37">
          <cell r="B37" t="str">
            <v>UGA</v>
          </cell>
        </row>
        <row r="38">
          <cell r="B38" t="str">
            <v>TZA</v>
          </cell>
        </row>
        <row r="39">
          <cell r="B39" t="str">
            <v>ZMB</v>
          </cell>
        </row>
        <row r="40">
          <cell r="B40" t="str">
            <v>ZWE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C17" sqref="C17"/>
    </sheetView>
  </sheetViews>
  <sheetFormatPr defaultColWidth="14.453125" defaultRowHeight="15" customHeight="1" x14ac:dyDescent="0.35"/>
  <cols>
    <col min="1" max="1" width="7.7265625" customWidth="1"/>
    <col min="2" max="2" width="5.7265625" customWidth="1"/>
    <col min="3" max="3" width="30.7265625" customWidth="1"/>
    <col min="4" max="4" width="27.7265625" customWidth="1"/>
    <col min="5" max="5" width="7.7265625" customWidth="1"/>
    <col min="6" max="6" width="9.7265625" customWidth="1"/>
    <col min="7" max="7" width="12.7265625" customWidth="1"/>
    <col min="8" max="8" width="31.7265625" customWidth="1"/>
    <col min="9" max="9" width="33.7265625" customWidth="1"/>
    <col min="10" max="10" width="25.7265625" customWidth="1"/>
    <col min="11" max="11" width="24.7265625" customWidth="1"/>
    <col min="12" max="12" width="32.7265625" customWidth="1"/>
    <col min="13" max="13" width="17.7265625" customWidth="1"/>
    <col min="14" max="14" width="22.7265625" customWidth="1"/>
    <col min="15" max="15" width="27.7265625" customWidth="1"/>
    <col min="16" max="22" width="8.7265625" customWidth="1"/>
  </cols>
  <sheetData>
    <row r="1" spans="1:15" ht="14.5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9"/>
      <c r="J1" s="9"/>
      <c r="K1" s="9"/>
      <c r="L1" s="9"/>
      <c r="M1" s="8" t="s">
        <v>8</v>
      </c>
      <c r="N1" s="9"/>
      <c r="O1" s="9"/>
    </row>
    <row r="2" spans="1:15" ht="14.5" x14ac:dyDescent="0.35">
      <c r="A2" s="9"/>
      <c r="B2" s="9"/>
      <c r="C2" s="9"/>
      <c r="D2" s="9"/>
      <c r="E2" s="9"/>
      <c r="F2" s="9"/>
      <c r="G2" s="9"/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</row>
    <row r="3" spans="1:15" ht="14.5" x14ac:dyDescent="0.35">
      <c r="A3" s="2">
        <v>1</v>
      </c>
      <c r="B3" s="3" t="s">
        <v>17</v>
      </c>
      <c r="C3" s="4" t="s">
        <v>18</v>
      </c>
      <c r="D3" s="4" t="s">
        <v>19</v>
      </c>
      <c r="E3" s="5">
        <v>75.260000000000005</v>
      </c>
      <c r="F3" s="5">
        <v>75.260000000000005</v>
      </c>
      <c r="G3" s="5">
        <v>1</v>
      </c>
      <c r="H3" s="5">
        <v>76.099999999999994</v>
      </c>
      <c r="I3" s="5">
        <v>75.08</v>
      </c>
      <c r="J3" s="5">
        <v>75.150000000000006</v>
      </c>
      <c r="K3" s="5">
        <v>75.75</v>
      </c>
      <c r="L3" s="5">
        <v>74.2</v>
      </c>
      <c r="M3" s="5">
        <v>71.2</v>
      </c>
      <c r="N3" s="5">
        <v>42.94</v>
      </c>
      <c r="O3" s="5">
        <v>94.14</v>
      </c>
    </row>
    <row r="4" spans="1:15" ht="14.5" x14ac:dyDescent="0.35">
      <c r="A4" s="2">
        <v>2</v>
      </c>
      <c r="B4" s="3" t="s">
        <v>20</v>
      </c>
      <c r="C4" s="4" t="s">
        <v>21</v>
      </c>
      <c r="D4" s="4" t="s">
        <v>19</v>
      </c>
      <c r="E4" s="5">
        <v>72.709999999999994</v>
      </c>
      <c r="F4" s="5">
        <v>72.709999999999994</v>
      </c>
      <c r="G4" s="5">
        <v>1</v>
      </c>
      <c r="H4" s="5">
        <v>68.37</v>
      </c>
      <c r="I4" s="5">
        <v>73.59</v>
      </c>
      <c r="J4" s="5">
        <v>71.709999999999994</v>
      </c>
      <c r="K4" s="5">
        <v>79.489999999999995</v>
      </c>
      <c r="L4" s="5">
        <v>70.400000000000006</v>
      </c>
      <c r="M4" s="5">
        <v>73.900000000000006</v>
      </c>
      <c r="N4" s="5">
        <v>51.74</v>
      </c>
      <c r="O4" s="5">
        <v>77.33</v>
      </c>
    </row>
    <row r="5" spans="1:15" ht="14.5" x14ac:dyDescent="0.35">
      <c r="A5" s="2">
        <v>3</v>
      </c>
      <c r="B5" s="3" t="s">
        <v>22</v>
      </c>
      <c r="C5" s="4" t="s">
        <v>23</v>
      </c>
      <c r="D5" s="4" t="s">
        <v>19</v>
      </c>
      <c r="E5" s="5">
        <v>71.39</v>
      </c>
      <c r="F5" s="5">
        <v>71.39</v>
      </c>
      <c r="G5" s="5">
        <v>1</v>
      </c>
      <c r="H5" s="5">
        <v>70.83</v>
      </c>
      <c r="I5" s="5">
        <v>67.77</v>
      </c>
      <c r="J5" s="5">
        <v>76.45</v>
      </c>
      <c r="K5" s="5">
        <v>76.599999999999994</v>
      </c>
      <c r="L5" s="5">
        <v>65.28</v>
      </c>
      <c r="M5" s="5">
        <v>66.489999999999995</v>
      </c>
      <c r="N5" s="5">
        <v>45.64</v>
      </c>
      <c r="O5" s="5">
        <v>89.76</v>
      </c>
    </row>
    <row r="6" spans="1:15" ht="14.5" x14ac:dyDescent="0.35">
      <c r="A6" s="2">
        <v>4</v>
      </c>
      <c r="B6" s="3" t="s">
        <v>24</v>
      </c>
      <c r="C6" s="4" t="s">
        <v>25</v>
      </c>
      <c r="D6" s="4" t="s">
        <v>19</v>
      </c>
      <c r="E6" s="5">
        <v>70.319999999999993</v>
      </c>
      <c r="F6" s="5">
        <v>75.61</v>
      </c>
      <c r="G6" s="5">
        <v>0.93</v>
      </c>
      <c r="H6" s="5">
        <v>74.739999999999995</v>
      </c>
      <c r="I6" s="5">
        <v>75.900000000000006</v>
      </c>
      <c r="J6" s="5">
        <v>74.760000000000005</v>
      </c>
      <c r="K6" s="5">
        <v>74.55</v>
      </c>
      <c r="L6" s="5">
        <v>78.12</v>
      </c>
      <c r="M6" s="5">
        <v>72.819999999999993</v>
      </c>
      <c r="N6" s="5">
        <v>57.65</v>
      </c>
      <c r="O6" s="5">
        <v>87.19</v>
      </c>
    </row>
    <row r="7" spans="1:15" ht="14.5" x14ac:dyDescent="0.35">
      <c r="A7" s="2">
        <v>5</v>
      </c>
      <c r="B7" s="3" t="s">
        <v>26</v>
      </c>
      <c r="C7" s="4" t="s">
        <v>27</v>
      </c>
      <c r="D7" s="4" t="s">
        <v>19</v>
      </c>
      <c r="E7" s="5">
        <v>69.510000000000005</v>
      </c>
      <c r="F7" s="5">
        <v>77.23</v>
      </c>
      <c r="G7" s="5">
        <v>0.9</v>
      </c>
      <c r="H7" s="5">
        <v>81.599999999999994</v>
      </c>
      <c r="I7" s="5">
        <v>80.510000000000005</v>
      </c>
      <c r="J7" s="5">
        <v>72.25</v>
      </c>
      <c r="K7" s="5">
        <v>83.67</v>
      </c>
      <c r="L7" s="5">
        <v>68.14</v>
      </c>
      <c r="M7" s="5">
        <v>76.5</v>
      </c>
      <c r="N7" s="5">
        <v>57.89</v>
      </c>
      <c r="O7" s="5">
        <v>85.15</v>
      </c>
    </row>
    <row r="8" spans="1:15" ht="14.5" x14ac:dyDescent="0.35">
      <c r="A8" s="2">
        <v>6</v>
      </c>
      <c r="B8" s="3" t="s">
        <v>28</v>
      </c>
      <c r="C8" s="4" t="s">
        <v>29</v>
      </c>
      <c r="D8" s="4" t="s">
        <v>19</v>
      </c>
      <c r="E8" s="5">
        <v>68.98</v>
      </c>
      <c r="F8" s="5">
        <v>74.17</v>
      </c>
      <c r="G8" s="5">
        <v>0.93</v>
      </c>
      <c r="H8" s="5">
        <v>82.98</v>
      </c>
      <c r="I8" s="5">
        <v>72.03</v>
      </c>
      <c r="J8" s="5">
        <v>77.56</v>
      </c>
      <c r="K8" s="5">
        <v>76.86</v>
      </c>
      <c r="L8" s="5">
        <v>61.43</v>
      </c>
      <c r="M8" s="5">
        <v>72.650000000000006</v>
      </c>
      <c r="N8" s="5">
        <v>46.09</v>
      </c>
      <c r="O8" s="5">
        <v>86.58</v>
      </c>
    </row>
    <row r="9" spans="1:15" ht="14.5" x14ac:dyDescent="0.35">
      <c r="A9" s="2">
        <v>7</v>
      </c>
      <c r="B9" s="3" t="s">
        <v>30</v>
      </c>
      <c r="C9" s="4" t="s">
        <v>31</v>
      </c>
      <c r="D9" s="4" t="s">
        <v>19</v>
      </c>
      <c r="E9" s="5">
        <v>67.27</v>
      </c>
      <c r="F9" s="5">
        <v>72.33</v>
      </c>
      <c r="G9" s="5">
        <v>0.93</v>
      </c>
      <c r="H9" s="5">
        <v>77.77</v>
      </c>
      <c r="I9" s="5">
        <v>74.77</v>
      </c>
      <c r="J9" s="5">
        <v>78.260000000000005</v>
      </c>
      <c r="K9" s="5">
        <v>66.010000000000005</v>
      </c>
      <c r="L9" s="5">
        <v>64.86</v>
      </c>
      <c r="M9" s="5">
        <v>70.7</v>
      </c>
      <c r="N9" s="5">
        <v>54.44</v>
      </c>
      <c r="O9" s="5">
        <v>81.56</v>
      </c>
    </row>
    <row r="10" spans="1:15" ht="14.5" x14ac:dyDescent="0.35">
      <c r="A10" s="2">
        <v>8</v>
      </c>
      <c r="B10" s="3" t="s">
        <v>32</v>
      </c>
      <c r="C10" s="4" t="s">
        <v>33</v>
      </c>
      <c r="D10" s="4" t="s">
        <v>19</v>
      </c>
      <c r="E10" s="5">
        <v>66.13</v>
      </c>
      <c r="F10" s="5">
        <v>66.13</v>
      </c>
      <c r="G10" s="5">
        <v>1</v>
      </c>
      <c r="H10" s="5">
        <v>67.790000000000006</v>
      </c>
      <c r="I10" s="5">
        <v>65.569999999999993</v>
      </c>
      <c r="J10" s="5">
        <v>67.930000000000007</v>
      </c>
      <c r="K10" s="5">
        <v>73.48</v>
      </c>
      <c r="L10" s="5">
        <v>55.88</v>
      </c>
      <c r="M10" s="5">
        <v>63.62</v>
      </c>
      <c r="N10" s="5">
        <v>36.1</v>
      </c>
      <c r="O10" s="5">
        <v>81.150000000000006</v>
      </c>
    </row>
    <row r="11" spans="1:15" ht="14.5" x14ac:dyDescent="0.35">
      <c r="A11" s="2">
        <v>9</v>
      </c>
      <c r="B11" s="3" t="s">
        <v>34</v>
      </c>
      <c r="C11" s="4" t="s">
        <v>35</v>
      </c>
      <c r="D11" s="4" t="s">
        <v>19</v>
      </c>
      <c r="E11" s="5">
        <v>65.180000000000007</v>
      </c>
      <c r="F11" s="5">
        <v>65.180000000000007</v>
      </c>
      <c r="G11" s="5">
        <v>1</v>
      </c>
      <c r="H11" s="5">
        <v>72.61</v>
      </c>
      <c r="I11" s="5">
        <v>56.93</v>
      </c>
      <c r="J11" s="5">
        <v>73.12</v>
      </c>
      <c r="K11" s="5">
        <v>74.260000000000005</v>
      </c>
      <c r="L11" s="5">
        <v>49</v>
      </c>
      <c r="M11" s="5">
        <v>64.430000000000007</v>
      </c>
      <c r="N11" s="5">
        <v>12.52</v>
      </c>
      <c r="O11" s="5">
        <v>84.24</v>
      </c>
    </row>
    <row r="12" spans="1:15" ht="14.5" x14ac:dyDescent="0.35">
      <c r="A12" s="2">
        <v>10</v>
      </c>
      <c r="B12" s="3" t="s">
        <v>36</v>
      </c>
      <c r="C12" s="4" t="s">
        <v>37</v>
      </c>
      <c r="D12" s="4" t="s">
        <v>19</v>
      </c>
      <c r="E12" s="5">
        <v>64.89</v>
      </c>
      <c r="F12" s="5">
        <v>64.89</v>
      </c>
      <c r="G12" s="5">
        <v>1</v>
      </c>
      <c r="H12" s="5">
        <v>76.510000000000005</v>
      </c>
      <c r="I12" s="5">
        <v>56.47</v>
      </c>
      <c r="J12" s="5">
        <v>58.73</v>
      </c>
      <c r="K12" s="5">
        <v>72.3</v>
      </c>
      <c r="L12" s="5">
        <v>60.44</v>
      </c>
      <c r="M12" s="5">
        <v>62.35</v>
      </c>
      <c r="N12" s="5">
        <v>12.53</v>
      </c>
      <c r="O12" s="5">
        <v>87.42</v>
      </c>
    </row>
    <row r="13" spans="1:15" ht="14.5" x14ac:dyDescent="0.35">
      <c r="A13" s="2">
        <v>11</v>
      </c>
      <c r="B13" s="3" t="s">
        <v>38</v>
      </c>
      <c r="C13" s="4" t="s">
        <v>39</v>
      </c>
      <c r="D13" s="4" t="s">
        <v>40</v>
      </c>
      <c r="E13" s="5">
        <v>63.3</v>
      </c>
      <c r="F13" s="5">
        <v>68.069999999999993</v>
      </c>
      <c r="G13" s="5">
        <v>0.93</v>
      </c>
      <c r="H13" s="5">
        <v>72.010000000000005</v>
      </c>
      <c r="I13" s="5">
        <v>63.42</v>
      </c>
      <c r="J13" s="5">
        <v>76.27</v>
      </c>
      <c r="K13" s="5">
        <v>61.49</v>
      </c>
      <c r="L13" s="5">
        <v>67.14</v>
      </c>
      <c r="M13" s="5">
        <v>68.56</v>
      </c>
      <c r="N13" s="5">
        <v>52.21</v>
      </c>
      <c r="O13" s="5">
        <v>72.36</v>
      </c>
    </row>
    <row r="14" spans="1:15" ht="14.5" x14ac:dyDescent="0.35">
      <c r="A14" s="2">
        <v>12</v>
      </c>
      <c r="B14" s="3" t="s">
        <v>41</v>
      </c>
      <c r="C14" s="4" t="s">
        <v>42</v>
      </c>
      <c r="D14" s="4" t="s">
        <v>19</v>
      </c>
      <c r="E14" s="5">
        <v>63.27</v>
      </c>
      <c r="F14" s="5">
        <v>65.91</v>
      </c>
      <c r="G14" s="5">
        <v>0.96</v>
      </c>
      <c r="H14" s="5">
        <v>74.150000000000006</v>
      </c>
      <c r="I14" s="5">
        <v>67.989999999999995</v>
      </c>
      <c r="J14" s="5">
        <v>75.41</v>
      </c>
      <c r="K14" s="5">
        <v>73.8</v>
      </c>
      <c r="L14" s="5">
        <v>38.200000000000003</v>
      </c>
      <c r="M14" s="5">
        <v>62.98</v>
      </c>
      <c r="N14" s="5">
        <v>30.39</v>
      </c>
      <c r="O14" s="5">
        <v>83.6</v>
      </c>
    </row>
    <row r="15" spans="1:15" ht="14.5" x14ac:dyDescent="0.35">
      <c r="A15" s="2">
        <v>13</v>
      </c>
      <c r="B15" s="3" t="s">
        <v>43</v>
      </c>
      <c r="C15" s="4" t="s">
        <v>44</v>
      </c>
      <c r="D15" s="4" t="s">
        <v>19</v>
      </c>
      <c r="E15" s="5">
        <v>62.36</v>
      </c>
      <c r="F15" s="5">
        <v>67.05</v>
      </c>
      <c r="G15" s="5">
        <v>0.93</v>
      </c>
      <c r="H15" s="5">
        <v>68.89</v>
      </c>
      <c r="I15" s="5">
        <v>61.84</v>
      </c>
      <c r="J15" s="5">
        <v>66.17</v>
      </c>
      <c r="K15" s="5">
        <v>71.39</v>
      </c>
      <c r="L15" s="5">
        <v>66.97</v>
      </c>
      <c r="M15" s="5">
        <v>67.459999999999994</v>
      </c>
      <c r="N15" s="5">
        <v>47.89</v>
      </c>
      <c r="O15" s="5">
        <v>72.63</v>
      </c>
    </row>
    <row r="16" spans="1:15" ht="14.5" x14ac:dyDescent="0.35">
      <c r="A16" s="2">
        <v>14</v>
      </c>
      <c r="B16" s="3" t="s">
        <v>45</v>
      </c>
      <c r="C16" s="4" t="s">
        <v>46</v>
      </c>
      <c r="D16" s="4" t="s">
        <v>40</v>
      </c>
      <c r="E16" s="5">
        <v>61.91</v>
      </c>
      <c r="F16" s="5">
        <v>64.489999999999995</v>
      </c>
      <c r="G16" s="5">
        <v>0.96</v>
      </c>
      <c r="H16" s="5">
        <v>71.92</v>
      </c>
      <c r="I16" s="5">
        <v>56.56</v>
      </c>
      <c r="J16" s="5">
        <v>74.03</v>
      </c>
      <c r="K16" s="5">
        <v>59.65</v>
      </c>
      <c r="L16" s="5">
        <v>60.29</v>
      </c>
      <c r="M16" s="5">
        <v>64.91</v>
      </c>
      <c r="N16" s="5">
        <v>23.48</v>
      </c>
      <c r="O16" s="5">
        <v>77.319999999999993</v>
      </c>
    </row>
    <row r="17" spans="1:15" ht="14.5" x14ac:dyDescent="0.35">
      <c r="A17" s="2">
        <v>15</v>
      </c>
      <c r="B17" s="3" t="s">
        <v>47</v>
      </c>
      <c r="C17" s="4" t="s">
        <v>48</v>
      </c>
      <c r="D17" s="4" t="s">
        <v>19</v>
      </c>
      <c r="E17" s="5">
        <v>61.61</v>
      </c>
      <c r="F17" s="5">
        <v>61.61</v>
      </c>
      <c r="G17" s="5">
        <v>1</v>
      </c>
      <c r="H17" s="5">
        <v>66.010000000000005</v>
      </c>
      <c r="I17" s="5">
        <v>59.09</v>
      </c>
      <c r="J17" s="5">
        <v>66.98</v>
      </c>
      <c r="K17" s="5">
        <v>77.709999999999994</v>
      </c>
      <c r="L17" s="5">
        <v>38.28</v>
      </c>
      <c r="M17" s="5">
        <v>59.56</v>
      </c>
      <c r="N17" s="5">
        <v>40.79</v>
      </c>
      <c r="O17" s="5">
        <v>72.66</v>
      </c>
    </row>
    <row r="18" spans="1:15" ht="14.5" x14ac:dyDescent="0.35">
      <c r="A18" s="2">
        <v>16</v>
      </c>
      <c r="B18" s="3" t="s">
        <v>49</v>
      </c>
      <c r="C18" s="4" t="s">
        <v>50</v>
      </c>
      <c r="D18" s="4" t="s">
        <v>19</v>
      </c>
      <c r="E18" s="5">
        <v>60.49</v>
      </c>
      <c r="F18" s="5">
        <v>60.49</v>
      </c>
      <c r="G18" s="5">
        <v>1</v>
      </c>
      <c r="H18" s="5">
        <v>55.54</v>
      </c>
      <c r="I18" s="5">
        <v>69.650000000000006</v>
      </c>
      <c r="J18" s="5">
        <v>55.93</v>
      </c>
      <c r="K18" s="5">
        <v>73.739999999999995</v>
      </c>
      <c r="L18" s="5">
        <v>47.6</v>
      </c>
      <c r="M18" s="5">
        <v>52.64</v>
      </c>
      <c r="N18" s="5">
        <v>22.72</v>
      </c>
      <c r="O18" s="5">
        <v>88.79</v>
      </c>
    </row>
    <row r="19" spans="1:15" ht="14.5" x14ac:dyDescent="0.35">
      <c r="A19" s="2">
        <v>17</v>
      </c>
      <c r="B19" s="3" t="s">
        <v>51</v>
      </c>
      <c r="C19" s="4" t="s">
        <v>52</v>
      </c>
      <c r="D19" s="4" t="s">
        <v>19</v>
      </c>
      <c r="E19" s="5">
        <v>60.36</v>
      </c>
      <c r="F19" s="5">
        <v>60.36</v>
      </c>
      <c r="G19" s="5">
        <v>1</v>
      </c>
      <c r="H19" s="5">
        <v>67.31</v>
      </c>
      <c r="I19" s="5">
        <v>46.77</v>
      </c>
      <c r="J19" s="5">
        <v>63.93</v>
      </c>
      <c r="K19" s="5">
        <v>73.5</v>
      </c>
      <c r="L19" s="5">
        <v>50.28</v>
      </c>
      <c r="M19" s="5">
        <v>57.99</v>
      </c>
      <c r="N19" s="5">
        <v>31.21</v>
      </c>
      <c r="O19" s="5">
        <v>74.8</v>
      </c>
    </row>
    <row r="20" spans="1:15" ht="14.5" x14ac:dyDescent="0.35">
      <c r="A20" s="2">
        <v>18</v>
      </c>
      <c r="B20" s="3" t="s">
        <v>53</v>
      </c>
      <c r="C20" s="4" t="s">
        <v>54</v>
      </c>
      <c r="D20" s="4" t="s">
        <v>19</v>
      </c>
      <c r="E20" s="5">
        <v>60</v>
      </c>
      <c r="F20" s="5">
        <v>62.5</v>
      </c>
      <c r="G20" s="5">
        <v>0.96</v>
      </c>
      <c r="H20" s="5">
        <v>72.239999999999995</v>
      </c>
      <c r="I20" s="5">
        <v>61.87</v>
      </c>
      <c r="J20" s="5">
        <v>66.760000000000005</v>
      </c>
      <c r="K20" s="5">
        <v>73.78</v>
      </c>
      <c r="L20" s="5">
        <v>37.86</v>
      </c>
      <c r="M20" s="5">
        <v>57.44</v>
      </c>
      <c r="N20" s="5">
        <v>31.44</v>
      </c>
      <c r="O20" s="5">
        <v>82.98</v>
      </c>
    </row>
    <row r="21" spans="1:15" ht="15.75" customHeight="1" x14ac:dyDescent="0.35">
      <c r="A21" s="2">
        <v>19</v>
      </c>
      <c r="B21" s="3" t="s">
        <v>55</v>
      </c>
      <c r="C21" s="4" t="s">
        <v>56</v>
      </c>
      <c r="D21" s="4" t="s">
        <v>19</v>
      </c>
      <c r="E21" s="5">
        <v>59.63</v>
      </c>
      <c r="F21" s="5">
        <v>59.63</v>
      </c>
      <c r="G21" s="5">
        <v>1</v>
      </c>
      <c r="H21" s="5">
        <v>35.93</v>
      </c>
      <c r="I21" s="5">
        <v>76.400000000000006</v>
      </c>
      <c r="J21" s="5">
        <v>47.48</v>
      </c>
      <c r="K21" s="5">
        <v>71.48</v>
      </c>
      <c r="L21" s="5">
        <v>66.83</v>
      </c>
      <c r="M21" s="5">
        <v>46.91</v>
      </c>
      <c r="N21" s="5">
        <v>38.270000000000003</v>
      </c>
      <c r="O21" s="5">
        <v>92.18</v>
      </c>
    </row>
    <row r="22" spans="1:15" ht="15.75" customHeight="1" x14ac:dyDescent="0.35">
      <c r="A22" s="2">
        <v>20</v>
      </c>
      <c r="B22" s="3" t="s">
        <v>57</v>
      </c>
      <c r="C22" s="4" t="s">
        <v>58</v>
      </c>
      <c r="D22" s="4" t="s">
        <v>19</v>
      </c>
      <c r="E22" s="5">
        <v>58.16</v>
      </c>
      <c r="F22" s="5">
        <v>58.16</v>
      </c>
      <c r="G22" s="5">
        <v>1</v>
      </c>
      <c r="H22" s="5">
        <v>57.59</v>
      </c>
      <c r="I22" s="5">
        <v>56.1</v>
      </c>
      <c r="J22" s="5">
        <v>71.150000000000006</v>
      </c>
      <c r="K22" s="5">
        <v>70.08</v>
      </c>
      <c r="L22" s="5">
        <v>35.880000000000003</v>
      </c>
      <c r="M22" s="5">
        <v>48.65</v>
      </c>
      <c r="N22" s="5">
        <v>20.14</v>
      </c>
      <c r="O22" s="5">
        <v>89.84</v>
      </c>
    </row>
    <row r="23" spans="1:15" ht="15.75" customHeight="1" x14ac:dyDescent="0.35">
      <c r="A23" s="2">
        <v>21</v>
      </c>
      <c r="B23" s="3" t="s">
        <v>59</v>
      </c>
      <c r="C23" s="4" t="s">
        <v>60</v>
      </c>
      <c r="D23" s="4" t="s">
        <v>19</v>
      </c>
      <c r="E23" s="5">
        <v>57.69</v>
      </c>
      <c r="F23" s="5">
        <v>57.69</v>
      </c>
      <c r="G23" s="5">
        <v>1</v>
      </c>
      <c r="H23" s="5">
        <v>67.83</v>
      </c>
      <c r="I23" s="5">
        <v>56.08</v>
      </c>
      <c r="J23" s="5">
        <v>60.91</v>
      </c>
      <c r="K23" s="5">
        <v>75.36</v>
      </c>
      <c r="L23" s="5">
        <v>28.28</v>
      </c>
      <c r="M23" s="5">
        <v>51.06</v>
      </c>
      <c r="N23" s="5">
        <v>12.96</v>
      </c>
      <c r="O23" s="5">
        <v>85.86</v>
      </c>
    </row>
    <row r="24" spans="1:15" ht="15.75" customHeight="1" x14ac:dyDescent="0.35">
      <c r="A24" s="2">
        <v>22</v>
      </c>
      <c r="B24" s="3" t="s">
        <v>61</v>
      </c>
      <c r="C24" s="4" t="s">
        <v>62</v>
      </c>
      <c r="D24" s="4" t="s">
        <v>40</v>
      </c>
      <c r="E24" s="5">
        <v>56.99</v>
      </c>
      <c r="F24" s="5">
        <v>59.36</v>
      </c>
      <c r="G24" s="5">
        <v>0.96</v>
      </c>
      <c r="H24" s="5">
        <v>50.6</v>
      </c>
      <c r="I24" s="5">
        <v>61.66</v>
      </c>
      <c r="J24" s="5">
        <v>49.95</v>
      </c>
      <c r="K24" s="5">
        <v>64.319999999999993</v>
      </c>
      <c r="L24" s="5">
        <v>70.290000000000006</v>
      </c>
      <c r="M24" s="5">
        <v>53.58</v>
      </c>
      <c r="N24" s="5">
        <v>20.43</v>
      </c>
      <c r="O24" s="5">
        <v>83.9</v>
      </c>
    </row>
    <row r="25" spans="1:15" ht="15.75" customHeight="1" x14ac:dyDescent="0.35">
      <c r="A25" s="2">
        <v>23</v>
      </c>
      <c r="B25" s="3" t="s">
        <v>63</v>
      </c>
      <c r="C25" s="4" t="s">
        <v>64</v>
      </c>
      <c r="D25" s="4" t="s">
        <v>65</v>
      </c>
      <c r="E25" s="5">
        <v>56.4</v>
      </c>
      <c r="F25" s="5">
        <v>58.75</v>
      </c>
      <c r="G25" s="5">
        <v>0.96</v>
      </c>
      <c r="H25" s="5">
        <v>64.2</v>
      </c>
      <c r="I25" s="5">
        <v>48.69</v>
      </c>
      <c r="J25" s="5">
        <v>59.83</v>
      </c>
      <c r="K25" s="5">
        <v>66.56</v>
      </c>
      <c r="L25" s="5">
        <v>54.45</v>
      </c>
      <c r="M25" s="5">
        <v>48.81</v>
      </c>
      <c r="N25" s="5">
        <v>47.5</v>
      </c>
      <c r="O25" s="5">
        <v>82.36</v>
      </c>
    </row>
    <row r="26" spans="1:15" ht="15.75" customHeight="1" x14ac:dyDescent="0.35">
      <c r="A26" s="2">
        <v>24</v>
      </c>
      <c r="B26" s="3" t="s">
        <v>66</v>
      </c>
      <c r="C26" s="4" t="s">
        <v>67</v>
      </c>
      <c r="D26" s="4" t="s">
        <v>65</v>
      </c>
      <c r="E26" s="5">
        <v>55.66</v>
      </c>
      <c r="F26" s="5">
        <v>57.98</v>
      </c>
      <c r="G26" s="5">
        <v>0.96</v>
      </c>
      <c r="H26" s="5">
        <v>61.95</v>
      </c>
      <c r="I26" s="5">
        <v>55.84</v>
      </c>
      <c r="J26" s="5">
        <v>51.93</v>
      </c>
      <c r="K26" s="5">
        <v>63.5</v>
      </c>
      <c r="L26" s="5">
        <v>56.66</v>
      </c>
      <c r="M26" s="5">
        <v>48.66</v>
      </c>
      <c r="N26" s="5">
        <v>47.62</v>
      </c>
      <c r="O26" s="5">
        <v>80.06</v>
      </c>
    </row>
    <row r="27" spans="1:15" ht="15.75" customHeight="1" x14ac:dyDescent="0.35">
      <c r="A27" s="2">
        <v>25</v>
      </c>
      <c r="B27" s="3" t="s">
        <v>68</v>
      </c>
      <c r="C27" s="4" t="s">
        <v>69</v>
      </c>
      <c r="D27" s="4" t="s">
        <v>70</v>
      </c>
      <c r="E27" s="5">
        <v>55.09</v>
      </c>
      <c r="F27" s="5">
        <v>57.39</v>
      </c>
      <c r="G27" s="5">
        <v>0.96</v>
      </c>
      <c r="H27" s="5">
        <v>58.92</v>
      </c>
      <c r="I27" s="5">
        <v>57.97</v>
      </c>
      <c r="J27" s="5">
        <v>46.13</v>
      </c>
      <c r="K27" s="5">
        <v>53.1</v>
      </c>
      <c r="L27" s="5">
        <v>70.81</v>
      </c>
      <c r="M27" s="5">
        <v>46.33</v>
      </c>
      <c r="N27" s="5">
        <v>35.9</v>
      </c>
      <c r="O27" s="5">
        <v>86.66</v>
      </c>
    </row>
    <row r="28" spans="1:15" ht="15.75" customHeight="1" x14ac:dyDescent="0.35">
      <c r="A28" s="2">
        <v>26</v>
      </c>
      <c r="B28" s="3" t="s">
        <v>71</v>
      </c>
      <c r="C28" s="4" t="s">
        <v>72</v>
      </c>
      <c r="D28" s="4" t="s">
        <v>40</v>
      </c>
      <c r="E28" s="5">
        <v>54.74</v>
      </c>
      <c r="F28" s="5">
        <v>54.74</v>
      </c>
      <c r="G28" s="5">
        <v>1</v>
      </c>
      <c r="H28" s="5">
        <v>53.84</v>
      </c>
      <c r="I28" s="5">
        <v>46.33</v>
      </c>
      <c r="J28" s="5">
        <v>64.040000000000006</v>
      </c>
      <c r="K28" s="5">
        <v>54.9</v>
      </c>
      <c r="L28" s="5">
        <v>54.6</v>
      </c>
      <c r="M28" s="5">
        <v>55.11</v>
      </c>
      <c r="N28" s="5">
        <v>35.159999999999997</v>
      </c>
      <c r="O28" s="5">
        <v>60.54</v>
      </c>
    </row>
    <row r="29" spans="1:15" ht="15.75" customHeight="1" x14ac:dyDescent="0.35">
      <c r="A29" s="2">
        <v>27</v>
      </c>
      <c r="B29" s="3" t="s">
        <v>73</v>
      </c>
      <c r="C29" s="4" t="s">
        <v>74</v>
      </c>
      <c r="D29" s="4" t="s">
        <v>70</v>
      </c>
      <c r="E29" s="5">
        <v>53.34</v>
      </c>
      <c r="F29" s="5">
        <v>57.35</v>
      </c>
      <c r="G29" s="5">
        <v>0.93</v>
      </c>
      <c r="H29" s="5">
        <v>56.26</v>
      </c>
      <c r="I29" s="5">
        <v>45.78</v>
      </c>
      <c r="J29" s="5">
        <v>63.4</v>
      </c>
      <c r="K29" s="5">
        <v>59.21</v>
      </c>
      <c r="L29" s="5">
        <v>62.11</v>
      </c>
      <c r="M29" s="5">
        <v>51.08</v>
      </c>
      <c r="N29" s="5">
        <v>48.05</v>
      </c>
      <c r="O29" s="5">
        <v>72.989999999999995</v>
      </c>
    </row>
    <row r="30" spans="1:15" ht="15.75" customHeight="1" x14ac:dyDescent="0.35">
      <c r="A30" s="2">
        <v>28</v>
      </c>
      <c r="B30" s="3" t="s">
        <v>75</v>
      </c>
      <c r="C30" s="4" t="s">
        <v>76</v>
      </c>
      <c r="D30" s="4" t="s">
        <v>40</v>
      </c>
      <c r="E30" s="5">
        <v>52.3</v>
      </c>
      <c r="F30" s="5">
        <v>52.3</v>
      </c>
      <c r="G30" s="5">
        <v>1</v>
      </c>
      <c r="H30" s="5">
        <v>62.82</v>
      </c>
      <c r="I30" s="5">
        <v>54.92</v>
      </c>
      <c r="J30" s="5">
        <v>51.96</v>
      </c>
      <c r="K30" s="5">
        <v>39</v>
      </c>
      <c r="L30" s="5">
        <v>52.77</v>
      </c>
      <c r="M30" s="5">
        <v>47.92</v>
      </c>
      <c r="N30" s="5">
        <v>10.09</v>
      </c>
      <c r="O30" s="5">
        <v>75.11</v>
      </c>
    </row>
    <row r="31" spans="1:15" ht="15.75" customHeight="1" x14ac:dyDescent="0.35">
      <c r="A31" s="2">
        <v>29</v>
      </c>
      <c r="B31" s="3" t="s">
        <v>77</v>
      </c>
      <c r="C31" s="4" t="s">
        <v>78</v>
      </c>
      <c r="D31" s="4" t="s">
        <v>19</v>
      </c>
      <c r="E31" s="5">
        <v>52.07</v>
      </c>
      <c r="F31" s="5">
        <v>52.07</v>
      </c>
      <c r="G31" s="5">
        <v>1</v>
      </c>
      <c r="H31" s="5">
        <v>62.23</v>
      </c>
      <c r="I31" s="5">
        <v>49.62</v>
      </c>
      <c r="J31" s="5">
        <v>49.52</v>
      </c>
      <c r="K31" s="5">
        <v>69.099999999999994</v>
      </c>
      <c r="L31" s="5">
        <v>29.9</v>
      </c>
      <c r="M31" s="5">
        <v>51.06</v>
      </c>
      <c r="N31" s="5">
        <v>3.96</v>
      </c>
      <c r="O31" s="5">
        <v>70.14</v>
      </c>
    </row>
    <row r="32" spans="1:15" ht="15.75" customHeight="1" x14ac:dyDescent="0.35">
      <c r="A32" s="2">
        <v>30</v>
      </c>
      <c r="B32" s="3" t="s">
        <v>79</v>
      </c>
      <c r="C32" s="4" t="s">
        <v>80</v>
      </c>
      <c r="D32" s="4" t="s">
        <v>19</v>
      </c>
      <c r="E32" s="5">
        <v>51.69</v>
      </c>
      <c r="F32" s="5">
        <v>51.69</v>
      </c>
      <c r="G32" s="5">
        <v>1</v>
      </c>
      <c r="H32" s="5">
        <v>48.27</v>
      </c>
      <c r="I32" s="5">
        <v>50.07</v>
      </c>
      <c r="J32" s="5">
        <v>58.12</v>
      </c>
      <c r="K32" s="5">
        <v>68.03</v>
      </c>
      <c r="L32" s="5">
        <v>33.96</v>
      </c>
      <c r="M32" s="5">
        <v>48.6</v>
      </c>
      <c r="N32" s="5">
        <v>13.84</v>
      </c>
      <c r="O32" s="5">
        <v>70.489999999999995</v>
      </c>
    </row>
    <row r="33" spans="1:15" ht="15.75" customHeight="1" x14ac:dyDescent="0.35">
      <c r="A33" s="2">
        <v>31</v>
      </c>
      <c r="B33" s="3" t="s">
        <v>81</v>
      </c>
      <c r="C33" s="4" t="s">
        <v>82</v>
      </c>
      <c r="D33" s="4" t="s">
        <v>65</v>
      </c>
      <c r="E33" s="5">
        <v>51.64</v>
      </c>
      <c r="F33" s="5">
        <v>53.79</v>
      </c>
      <c r="G33" s="5">
        <v>0.96</v>
      </c>
      <c r="H33" s="5">
        <v>63.24</v>
      </c>
      <c r="I33" s="5">
        <v>66.61</v>
      </c>
      <c r="J33" s="5">
        <v>41.97</v>
      </c>
      <c r="K33" s="5">
        <v>61.53</v>
      </c>
      <c r="L33" s="5">
        <v>35.619999999999997</v>
      </c>
      <c r="M33" s="5">
        <v>54.75</v>
      </c>
      <c r="N33" s="5">
        <v>34.15</v>
      </c>
      <c r="O33" s="5">
        <v>58.43</v>
      </c>
    </row>
    <row r="34" spans="1:15" ht="15.75" customHeight="1" x14ac:dyDescent="0.35">
      <c r="A34" s="2">
        <v>32</v>
      </c>
      <c r="B34" s="3" t="s">
        <v>83</v>
      </c>
      <c r="C34" s="4" t="s">
        <v>84</v>
      </c>
      <c r="D34" s="4" t="s">
        <v>19</v>
      </c>
      <c r="E34" s="5">
        <v>50.25</v>
      </c>
      <c r="F34" s="5">
        <v>50.25</v>
      </c>
      <c r="G34" s="5">
        <v>1</v>
      </c>
      <c r="H34" s="5">
        <v>51.65</v>
      </c>
      <c r="I34" s="5">
        <v>52.78</v>
      </c>
      <c r="J34" s="5">
        <v>49.52</v>
      </c>
      <c r="K34" s="5">
        <v>69.959999999999994</v>
      </c>
      <c r="L34" s="5">
        <v>27.37</v>
      </c>
      <c r="M34" s="5">
        <v>42.1</v>
      </c>
      <c r="N34" s="5">
        <v>17</v>
      </c>
      <c r="O34" s="5">
        <v>77.650000000000006</v>
      </c>
    </row>
    <row r="35" spans="1:15" ht="15.75" customHeight="1" x14ac:dyDescent="0.35">
      <c r="A35" s="2">
        <v>33</v>
      </c>
      <c r="B35" s="3" t="s">
        <v>85</v>
      </c>
      <c r="C35" s="4" t="s">
        <v>86</v>
      </c>
      <c r="D35" s="4" t="s">
        <v>19</v>
      </c>
      <c r="E35" s="5">
        <v>50.17</v>
      </c>
      <c r="F35" s="5">
        <v>50.17</v>
      </c>
      <c r="G35" s="5">
        <v>1</v>
      </c>
      <c r="H35" s="5">
        <v>54.38</v>
      </c>
      <c r="I35" s="5">
        <v>47.14</v>
      </c>
      <c r="J35" s="5">
        <v>57.76</v>
      </c>
      <c r="K35" s="5">
        <v>41.6</v>
      </c>
      <c r="L35" s="5">
        <v>50</v>
      </c>
      <c r="M35" s="5">
        <v>50.28</v>
      </c>
      <c r="N35" s="5">
        <v>11.35</v>
      </c>
      <c r="O35" s="5">
        <v>62.91</v>
      </c>
    </row>
    <row r="36" spans="1:15" ht="15.75" customHeight="1" x14ac:dyDescent="0.35">
      <c r="A36" s="2">
        <v>34</v>
      </c>
      <c r="B36" s="3" t="s">
        <v>87</v>
      </c>
      <c r="C36" s="4" t="s">
        <v>88</v>
      </c>
      <c r="D36" s="4" t="s">
        <v>40</v>
      </c>
      <c r="E36" s="5">
        <v>50.06</v>
      </c>
      <c r="F36" s="5">
        <v>50.06</v>
      </c>
      <c r="G36" s="5">
        <v>1</v>
      </c>
      <c r="H36" s="5">
        <v>44.2</v>
      </c>
      <c r="I36" s="5">
        <v>57.25</v>
      </c>
      <c r="J36" s="5">
        <v>55.66</v>
      </c>
      <c r="K36" s="5">
        <v>51.99</v>
      </c>
      <c r="L36" s="5">
        <v>41.19</v>
      </c>
      <c r="M36" s="5">
        <v>48.48</v>
      </c>
      <c r="N36" s="5">
        <v>22.03</v>
      </c>
      <c r="O36" s="5">
        <v>62.56</v>
      </c>
    </row>
    <row r="37" spans="1:15" ht="15.75" customHeight="1" x14ac:dyDescent="0.35">
      <c r="A37" s="2">
        <v>35</v>
      </c>
      <c r="B37" s="3" t="s">
        <v>89</v>
      </c>
      <c r="C37" s="4" t="s">
        <v>90</v>
      </c>
      <c r="D37" s="4" t="s">
        <v>19</v>
      </c>
      <c r="E37" s="5">
        <v>48.12</v>
      </c>
      <c r="F37" s="5">
        <v>48.12</v>
      </c>
      <c r="G37" s="5">
        <v>1</v>
      </c>
      <c r="H37" s="5">
        <v>52.22</v>
      </c>
      <c r="I37" s="5">
        <v>51.62</v>
      </c>
      <c r="J37" s="5">
        <v>45.14</v>
      </c>
      <c r="K37" s="5">
        <v>69.42</v>
      </c>
      <c r="L37" s="5">
        <v>22.19</v>
      </c>
      <c r="M37" s="5">
        <v>41.69</v>
      </c>
      <c r="N37" s="5">
        <v>5.71</v>
      </c>
      <c r="O37" s="5">
        <v>75.099999999999994</v>
      </c>
    </row>
    <row r="38" spans="1:15" ht="15.75" customHeight="1" x14ac:dyDescent="0.35">
      <c r="A38" s="2">
        <v>36</v>
      </c>
      <c r="B38" s="3" t="s">
        <v>91</v>
      </c>
      <c r="C38" s="4" t="s">
        <v>92</v>
      </c>
      <c r="D38" s="4" t="s">
        <v>93</v>
      </c>
      <c r="E38" s="5">
        <v>47.92</v>
      </c>
      <c r="F38" s="5">
        <v>47.92</v>
      </c>
      <c r="G38" s="5">
        <v>1</v>
      </c>
      <c r="H38" s="5">
        <v>51.44</v>
      </c>
      <c r="I38" s="5">
        <v>40.96</v>
      </c>
      <c r="J38" s="5">
        <v>48.05</v>
      </c>
      <c r="K38" s="5">
        <v>47.15</v>
      </c>
      <c r="L38" s="5">
        <v>51.97</v>
      </c>
      <c r="M38" s="5">
        <v>48.56</v>
      </c>
      <c r="N38" s="5">
        <v>14.21</v>
      </c>
      <c r="O38" s="5">
        <v>57.85</v>
      </c>
    </row>
    <row r="39" spans="1:15" ht="15.75" customHeight="1" x14ac:dyDescent="0.35">
      <c r="A39" s="2">
        <v>37</v>
      </c>
      <c r="B39" s="3" t="s">
        <v>94</v>
      </c>
      <c r="C39" s="4" t="s">
        <v>95</v>
      </c>
      <c r="D39" s="4" t="s">
        <v>65</v>
      </c>
      <c r="E39" s="5">
        <v>47.69</v>
      </c>
      <c r="F39" s="5">
        <v>49.68</v>
      </c>
      <c r="G39" s="5">
        <v>0.96</v>
      </c>
      <c r="H39" s="5">
        <v>35.83</v>
      </c>
      <c r="I39" s="5">
        <v>51.86</v>
      </c>
      <c r="J39" s="5">
        <v>54.49</v>
      </c>
      <c r="K39" s="5">
        <v>63.52</v>
      </c>
      <c r="L39" s="5">
        <v>42.69</v>
      </c>
      <c r="M39" s="5">
        <v>42.45</v>
      </c>
      <c r="N39" s="5">
        <v>12.67</v>
      </c>
      <c r="O39" s="5">
        <v>76.47</v>
      </c>
    </row>
    <row r="40" spans="1:15" ht="15.75" customHeight="1" x14ac:dyDescent="0.35">
      <c r="A40" s="2">
        <v>38</v>
      </c>
      <c r="B40" s="3" t="s">
        <v>96</v>
      </c>
      <c r="C40" s="4" t="s">
        <v>97</v>
      </c>
      <c r="D40" s="4" t="s">
        <v>98</v>
      </c>
      <c r="E40" s="5">
        <v>45.93</v>
      </c>
      <c r="F40" s="5">
        <v>45.93</v>
      </c>
      <c r="G40" s="5">
        <v>1</v>
      </c>
      <c r="H40" s="5">
        <v>52.06</v>
      </c>
      <c r="I40" s="5">
        <v>49.63</v>
      </c>
      <c r="J40" s="5">
        <v>40.85</v>
      </c>
      <c r="K40" s="5">
        <v>63.45</v>
      </c>
      <c r="L40" s="5">
        <v>23.65</v>
      </c>
      <c r="M40" s="5">
        <v>51.18</v>
      </c>
      <c r="N40" s="5">
        <v>26.94</v>
      </c>
      <c r="O40" s="5">
        <v>41.76</v>
      </c>
    </row>
    <row r="41" spans="1:15" ht="15.75" customHeight="1" x14ac:dyDescent="0.35">
      <c r="A41" s="2">
        <v>39</v>
      </c>
      <c r="B41" s="3" t="s">
        <v>99</v>
      </c>
      <c r="C41" s="4" t="s">
        <v>100</v>
      </c>
      <c r="D41" s="4" t="s">
        <v>65</v>
      </c>
      <c r="E41" s="5">
        <v>45.81</v>
      </c>
      <c r="F41" s="5">
        <v>45.81</v>
      </c>
      <c r="G41" s="5">
        <v>1</v>
      </c>
      <c r="H41" s="5">
        <v>40.78</v>
      </c>
      <c r="I41" s="5">
        <v>53.2</v>
      </c>
      <c r="J41" s="5">
        <v>50.12</v>
      </c>
      <c r="K41" s="5">
        <v>38.82</v>
      </c>
      <c r="L41" s="5">
        <v>46.16</v>
      </c>
      <c r="M41" s="5">
        <v>29.94</v>
      </c>
      <c r="N41" s="5">
        <v>25.05</v>
      </c>
      <c r="O41" s="5">
        <v>84.48</v>
      </c>
    </row>
    <row r="42" spans="1:15" ht="15.75" customHeight="1" x14ac:dyDescent="0.35">
      <c r="A42" s="2">
        <v>40</v>
      </c>
      <c r="B42" s="3" t="s">
        <v>101</v>
      </c>
      <c r="C42" s="4" t="s">
        <v>102</v>
      </c>
      <c r="D42" s="4" t="s">
        <v>65</v>
      </c>
      <c r="E42" s="5">
        <v>45.21</v>
      </c>
      <c r="F42" s="5">
        <v>45.21</v>
      </c>
      <c r="G42" s="5">
        <v>1</v>
      </c>
      <c r="H42" s="5">
        <v>59.06</v>
      </c>
      <c r="I42" s="5">
        <v>43.53</v>
      </c>
      <c r="J42" s="5">
        <v>39.229999999999997</v>
      </c>
      <c r="K42" s="5">
        <v>55.18</v>
      </c>
      <c r="L42" s="5">
        <v>29.05</v>
      </c>
      <c r="M42" s="5">
        <v>36.76</v>
      </c>
      <c r="N42" s="5">
        <v>3.3</v>
      </c>
      <c r="O42" s="5">
        <v>76.08</v>
      </c>
    </row>
    <row r="43" spans="1:15" ht="15.75" customHeight="1" x14ac:dyDescent="0.35">
      <c r="A43" s="2">
        <v>41</v>
      </c>
      <c r="B43" s="3" t="s">
        <v>103</v>
      </c>
      <c r="C43" s="4" t="s">
        <v>104</v>
      </c>
      <c r="D43" s="4" t="s">
        <v>105</v>
      </c>
      <c r="E43" s="5">
        <v>43.75</v>
      </c>
      <c r="F43" s="5">
        <v>48.07</v>
      </c>
      <c r="G43" s="5">
        <v>0.91</v>
      </c>
      <c r="H43" s="5">
        <v>52.17</v>
      </c>
      <c r="I43" s="5">
        <v>47.96</v>
      </c>
      <c r="J43" s="5">
        <v>45.02</v>
      </c>
      <c r="K43" s="5">
        <v>44.07</v>
      </c>
      <c r="L43" s="5">
        <v>51.14</v>
      </c>
      <c r="M43" s="5">
        <v>39.54</v>
      </c>
      <c r="N43" s="5">
        <v>63.84</v>
      </c>
      <c r="O43" s="5">
        <v>59.89</v>
      </c>
    </row>
    <row r="44" spans="1:15" ht="15.75" customHeight="1" x14ac:dyDescent="0.35">
      <c r="A44" s="2">
        <v>42</v>
      </c>
      <c r="B44" s="3" t="s">
        <v>106</v>
      </c>
      <c r="C44" s="4" t="s">
        <v>107</v>
      </c>
      <c r="D44" s="4" t="s">
        <v>65</v>
      </c>
      <c r="E44" s="5">
        <v>43.58</v>
      </c>
      <c r="F44" s="5">
        <v>48.42</v>
      </c>
      <c r="G44" s="5">
        <v>0.9</v>
      </c>
      <c r="H44" s="5">
        <v>43.97</v>
      </c>
      <c r="I44" s="5">
        <v>53.43</v>
      </c>
      <c r="J44" s="5">
        <v>49.23</v>
      </c>
      <c r="K44" s="5">
        <v>64.16</v>
      </c>
      <c r="L44" s="5">
        <v>31.29</v>
      </c>
      <c r="M44" s="5">
        <v>50.9</v>
      </c>
      <c r="N44" s="5">
        <v>33.270000000000003</v>
      </c>
      <c r="O44" s="5">
        <v>48.51</v>
      </c>
    </row>
    <row r="45" spans="1:15" ht="15.75" customHeight="1" x14ac:dyDescent="0.35">
      <c r="A45" s="2">
        <v>43</v>
      </c>
      <c r="B45" s="3" t="s">
        <v>108</v>
      </c>
      <c r="C45" s="4" t="s">
        <v>109</v>
      </c>
      <c r="D45" s="4" t="s">
        <v>65</v>
      </c>
      <c r="E45" s="5">
        <v>42.74</v>
      </c>
      <c r="F45" s="5">
        <v>42.74</v>
      </c>
      <c r="G45" s="5">
        <v>1</v>
      </c>
      <c r="H45" s="5">
        <v>47.67</v>
      </c>
      <c r="I45" s="5">
        <v>29.28</v>
      </c>
      <c r="J45" s="5">
        <v>41.66</v>
      </c>
      <c r="K45" s="5">
        <v>54.75</v>
      </c>
      <c r="L45" s="5">
        <v>40.340000000000003</v>
      </c>
      <c r="M45" s="5">
        <v>35</v>
      </c>
      <c r="N45" s="5">
        <v>14.89</v>
      </c>
      <c r="O45" s="5">
        <v>67.510000000000005</v>
      </c>
    </row>
    <row r="46" spans="1:15" ht="15.75" customHeight="1" x14ac:dyDescent="0.35">
      <c r="A46" s="2">
        <v>44</v>
      </c>
      <c r="B46" s="3" t="s">
        <v>110</v>
      </c>
      <c r="C46" s="4" t="s">
        <v>111</v>
      </c>
      <c r="D46" s="4" t="s">
        <v>19</v>
      </c>
      <c r="E46" s="5">
        <v>42.17</v>
      </c>
      <c r="F46" s="5">
        <v>45.34</v>
      </c>
      <c r="G46" s="5">
        <v>0.93</v>
      </c>
      <c r="H46" s="5">
        <v>38.520000000000003</v>
      </c>
      <c r="I46" s="5">
        <v>42.7</v>
      </c>
      <c r="J46" s="5">
        <v>53.09</v>
      </c>
      <c r="K46" s="5">
        <v>58.55</v>
      </c>
      <c r="L46" s="5">
        <v>33.85</v>
      </c>
      <c r="M46" s="5">
        <v>33.049999999999997</v>
      </c>
      <c r="N46" s="5">
        <v>66.75</v>
      </c>
      <c r="O46" s="5">
        <v>62.79</v>
      </c>
    </row>
    <row r="47" spans="1:15" ht="15.75" customHeight="1" x14ac:dyDescent="0.35">
      <c r="A47" s="2">
        <v>45</v>
      </c>
      <c r="B47" s="3" t="s">
        <v>112</v>
      </c>
      <c r="C47" s="4" t="s">
        <v>113</v>
      </c>
      <c r="D47" s="4" t="s">
        <v>19</v>
      </c>
      <c r="E47" s="5">
        <v>42.04</v>
      </c>
      <c r="F47" s="5">
        <v>42.04</v>
      </c>
      <c r="G47" s="5">
        <v>1</v>
      </c>
      <c r="H47" s="5">
        <v>34.9</v>
      </c>
      <c r="I47" s="5">
        <v>36.83</v>
      </c>
      <c r="J47" s="5">
        <v>55.73</v>
      </c>
      <c r="K47" s="5">
        <v>43.55</v>
      </c>
      <c r="L47" s="5">
        <v>39.19</v>
      </c>
      <c r="M47" s="5">
        <v>35.17</v>
      </c>
      <c r="N47" s="5">
        <v>27.98</v>
      </c>
      <c r="O47" s="5">
        <v>60.46</v>
      </c>
    </row>
    <row r="48" spans="1:15" ht="15.75" customHeight="1" x14ac:dyDescent="0.35">
      <c r="A48" s="2">
        <v>46</v>
      </c>
      <c r="B48" s="3" t="s">
        <v>114</v>
      </c>
      <c r="C48" s="4" t="s">
        <v>115</v>
      </c>
      <c r="D48" s="4" t="s">
        <v>65</v>
      </c>
      <c r="E48" s="5">
        <v>41.77</v>
      </c>
      <c r="F48" s="5">
        <v>44.91</v>
      </c>
      <c r="G48" s="5">
        <v>0.93</v>
      </c>
      <c r="H48" s="5">
        <v>54.18</v>
      </c>
      <c r="I48" s="5">
        <v>39.6</v>
      </c>
      <c r="J48" s="5">
        <v>40.549999999999997</v>
      </c>
      <c r="K48" s="5">
        <v>56.94</v>
      </c>
      <c r="L48" s="5">
        <v>33.299999999999997</v>
      </c>
      <c r="M48" s="5">
        <v>40</v>
      </c>
      <c r="N48" s="5">
        <v>44.98</v>
      </c>
      <c r="O48" s="5">
        <v>54.73</v>
      </c>
    </row>
    <row r="49" spans="1:15" ht="15.75" customHeight="1" x14ac:dyDescent="0.35">
      <c r="A49" s="2">
        <v>47</v>
      </c>
      <c r="B49" s="3" t="s">
        <v>116</v>
      </c>
      <c r="C49" s="4" t="s">
        <v>117</v>
      </c>
      <c r="D49" s="4" t="s">
        <v>65</v>
      </c>
      <c r="E49" s="5">
        <v>41.56</v>
      </c>
      <c r="F49" s="5">
        <v>41.56</v>
      </c>
      <c r="G49" s="5">
        <v>1</v>
      </c>
      <c r="H49" s="5">
        <v>33.979999999999997</v>
      </c>
      <c r="I49" s="5">
        <v>30.96</v>
      </c>
      <c r="J49" s="5">
        <v>52.33</v>
      </c>
      <c r="K49" s="5">
        <v>41.78</v>
      </c>
      <c r="L49" s="5">
        <v>48.76</v>
      </c>
      <c r="M49" s="5">
        <v>34.58</v>
      </c>
      <c r="N49" s="5">
        <v>38.11</v>
      </c>
      <c r="O49" s="5">
        <v>56.68</v>
      </c>
    </row>
    <row r="50" spans="1:15" ht="15.75" customHeight="1" x14ac:dyDescent="0.35">
      <c r="A50" s="2">
        <v>48</v>
      </c>
      <c r="B50" s="3" t="s">
        <v>118</v>
      </c>
      <c r="C50" s="4" t="s">
        <v>119</v>
      </c>
      <c r="D50" s="4" t="s">
        <v>98</v>
      </c>
      <c r="E50" s="5">
        <v>41.26</v>
      </c>
      <c r="F50" s="5">
        <v>41.26</v>
      </c>
      <c r="G50" s="5">
        <v>1</v>
      </c>
      <c r="H50" s="5">
        <v>37.21</v>
      </c>
      <c r="I50" s="5">
        <v>39.54</v>
      </c>
      <c r="J50" s="5">
        <v>50.28</v>
      </c>
      <c r="K50" s="5">
        <v>47.99</v>
      </c>
      <c r="L50" s="5">
        <v>31.29</v>
      </c>
      <c r="M50" s="5">
        <v>39.97</v>
      </c>
      <c r="N50" s="5">
        <v>40.42</v>
      </c>
      <c r="O50" s="5">
        <v>44.14</v>
      </c>
    </row>
    <row r="51" spans="1:15" ht="15.75" customHeight="1" x14ac:dyDescent="0.35">
      <c r="A51" s="2">
        <v>49</v>
      </c>
      <c r="B51" s="3" t="s">
        <v>120</v>
      </c>
      <c r="C51" s="4" t="s">
        <v>121</v>
      </c>
      <c r="D51" s="4" t="s">
        <v>105</v>
      </c>
      <c r="E51" s="5">
        <v>40.46</v>
      </c>
      <c r="F51" s="5">
        <v>40.46</v>
      </c>
      <c r="G51" s="5">
        <v>1</v>
      </c>
      <c r="H51" s="5">
        <v>27.1</v>
      </c>
      <c r="I51" s="5">
        <v>30.82</v>
      </c>
      <c r="J51" s="5">
        <v>61.91</v>
      </c>
      <c r="K51" s="5">
        <v>39.03</v>
      </c>
      <c r="L51" s="5">
        <v>43.44</v>
      </c>
      <c r="M51" s="5">
        <v>35.96</v>
      </c>
      <c r="N51" s="5">
        <v>24.17</v>
      </c>
      <c r="O51" s="5">
        <v>54.88</v>
      </c>
    </row>
    <row r="52" spans="1:15" ht="15.75" customHeight="1" x14ac:dyDescent="0.35">
      <c r="A52" s="2">
        <v>50</v>
      </c>
      <c r="B52" s="3" t="s">
        <v>122</v>
      </c>
      <c r="C52" s="4" t="s">
        <v>123</v>
      </c>
      <c r="D52" s="4" t="s">
        <v>98</v>
      </c>
      <c r="E52" s="5">
        <v>39.53</v>
      </c>
      <c r="F52" s="5">
        <v>41.18</v>
      </c>
      <c r="G52" s="5">
        <v>0.96</v>
      </c>
      <c r="H52" s="5">
        <v>22.88</v>
      </c>
      <c r="I52" s="5">
        <v>52.91</v>
      </c>
      <c r="J52" s="5">
        <v>41.89</v>
      </c>
      <c r="K52" s="5">
        <v>40.28</v>
      </c>
      <c r="L52" s="5">
        <v>47.94</v>
      </c>
      <c r="M52" s="5">
        <v>38.24</v>
      </c>
      <c r="N52" s="5">
        <v>23.2</v>
      </c>
      <c r="O52" s="5">
        <v>53.05</v>
      </c>
    </row>
    <row r="53" spans="1:15" ht="15.75" customHeight="1" x14ac:dyDescent="0.35">
      <c r="A53" s="2">
        <v>51</v>
      </c>
      <c r="B53" s="3" t="s">
        <v>124</v>
      </c>
      <c r="C53" s="4" t="s">
        <v>125</v>
      </c>
      <c r="D53" s="4" t="s">
        <v>65</v>
      </c>
      <c r="E53" s="5">
        <v>38.93</v>
      </c>
      <c r="F53" s="5">
        <v>40.549999999999997</v>
      </c>
      <c r="G53" s="5">
        <v>0.96</v>
      </c>
      <c r="H53" s="5">
        <v>22.61</v>
      </c>
      <c r="I53" s="5">
        <v>32.15</v>
      </c>
      <c r="J53" s="5">
        <v>38.97</v>
      </c>
      <c r="K53" s="5">
        <v>61.15</v>
      </c>
      <c r="L53" s="5">
        <v>47.86</v>
      </c>
      <c r="M53" s="5">
        <v>42.7</v>
      </c>
      <c r="N53" s="5">
        <v>20.27</v>
      </c>
      <c r="O53" s="5">
        <v>43.01</v>
      </c>
    </row>
    <row r="54" spans="1:15" ht="15.75" customHeight="1" x14ac:dyDescent="0.35">
      <c r="A54" s="2">
        <v>52</v>
      </c>
      <c r="B54" s="3" t="s">
        <v>126</v>
      </c>
      <c r="C54" s="4" t="s">
        <v>127</v>
      </c>
      <c r="D54" s="4" t="s">
        <v>105</v>
      </c>
      <c r="E54" s="5">
        <v>38.880000000000003</v>
      </c>
      <c r="F54" s="5">
        <v>38.880000000000003</v>
      </c>
      <c r="G54" s="5">
        <v>1</v>
      </c>
      <c r="H54" s="5">
        <v>35.31</v>
      </c>
      <c r="I54" s="5">
        <v>40.619999999999997</v>
      </c>
      <c r="J54" s="5">
        <v>40.090000000000003</v>
      </c>
      <c r="K54" s="5">
        <v>50.63</v>
      </c>
      <c r="L54" s="5">
        <v>27.76</v>
      </c>
      <c r="M54" s="5">
        <v>36.270000000000003</v>
      </c>
      <c r="N54" s="5">
        <v>4.62</v>
      </c>
      <c r="O54" s="5">
        <v>55.52</v>
      </c>
    </row>
    <row r="55" spans="1:15" ht="15.75" customHeight="1" x14ac:dyDescent="0.35">
      <c r="A55" s="2">
        <v>53</v>
      </c>
      <c r="B55" s="3" t="s">
        <v>128</v>
      </c>
      <c r="C55" s="4" t="s">
        <v>129</v>
      </c>
      <c r="D55" s="4" t="s">
        <v>65</v>
      </c>
      <c r="E55" s="5">
        <v>38.83</v>
      </c>
      <c r="F55" s="5">
        <v>38.83</v>
      </c>
      <c r="G55" s="5">
        <v>1</v>
      </c>
      <c r="H55" s="5">
        <v>39.619999999999997</v>
      </c>
      <c r="I55" s="5">
        <v>34.74</v>
      </c>
      <c r="J55" s="5">
        <v>50.72</v>
      </c>
      <c r="K55" s="5">
        <v>43.77</v>
      </c>
      <c r="L55" s="5">
        <v>25.3</v>
      </c>
      <c r="M55" s="5">
        <v>31.45</v>
      </c>
      <c r="N55" s="5">
        <v>24.12</v>
      </c>
      <c r="O55" s="5">
        <v>58.5</v>
      </c>
    </row>
    <row r="56" spans="1:15" ht="15.75" customHeight="1" x14ac:dyDescent="0.35">
      <c r="A56" s="2">
        <v>54</v>
      </c>
      <c r="B56" s="3" t="s">
        <v>130</v>
      </c>
      <c r="C56" s="4" t="s">
        <v>131</v>
      </c>
      <c r="D56" s="4" t="s">
        <v>65</v>
      </c>
      <c r="E56" s="5">
        <v>38.54</v>
      </c>
      <c r="F56" s="5">
        <v>40.14</v>
      </c>
      <c r="G56" s="5">
        <v>0.96</v>
      </c>
      <c r="H56" s="5">
        <v>33.950000000000003</v>
      </c>
      <c r="I56" s="5">
        <v>31.16</v>
      </c>
      <c r="J56" s="5">
        <v>50.49</v>
      </c>
      <c r="K56" s="5">
        <v>42.67</v>
      </c>
      <c r="L56" s="5">
        <v>42.45</v>
      </c>
      <c r="M56" s="5">
        <v>32.700000000000003</v>
      </c>
      <c r="N56" s="5">
        <v>16.03</v>
      </c>
      <c r="O56" s="5">
        <v>63.07</v>
      </c>
    </row>
    <row r="57" spans="1:15" ht="15.75" customHeight="1" x14ac:dyDescent="0.35">
      <c r="A57" s="2">
        <v>55</v>
      </c>
      <c r="B57" s="3" t="s">
        <v>132</v>
      </c>
      <c r="C57" s="4" t="s">
        <v>133</v>
      </c>
      <c r="D57" s="4" t="s">
        <v>105</v>
      </c>
      <c r="E57" s="5">
        <v>38.54</v>
      </c>
      <c r="F57" s="5">
        <v>40.14</v>
      </c>
      <c r="G57" s="5">
        <v>0.96</v>
      </c>
      <c r="H57" s="5">
        <v>62.14</v>
      </c>
      <c r="I57" s="5">
        <v>32.479999999999997</v>
      </c>
      <c r="J57" s="5">
        <v>36.15</v>
      </c>
      <c r="K57" s="5">
        <v>42.82</v>
      </c>
      <c r="L57" s="5">
        <v>27.12</v>
      </c>
      <c r="M57" s="5">
        <v>35.89</v>
      </c>
      <c r="N57" s="5">
        <v>1.76</v>
      </c>
      <c r="O57" s="5">
        <v>61.44</v>
      </c>
    </row>
    <row r="58" spans="1:15" ht="15.75" customHeight="1" x14ac:dyDescent="0.35">
      <c r="A58" s="2">
        <v>56</v>
      </c>
      <c r="B58" s="3" t="s">
        <v>134</v>
      </c>
      <c r="C58" s="4" t="s">
        <v>135</v>
      </c>
      <c r="D58" s="4" t="s">
        <v>98</v>
      </c>
      <c r="E58" s="5">
        <v>38.43</v>
      </c>
      <c r="F58" s="5">
        <v>40.03</v>
      </c>
      <c r="G58" s="5">
        <v>0.96</v>
      </c>
      <c r="H58" s="5">
        <v>27.37</v>
      </c>
      <c r="I58" s="5">
        <v>47.87</v>
      </c>
      <c r="J58" s="5">
        <v>41.19</v>
      </c>
      <c r="K58" s="5">
        <v>33.86</v>
      </c>
      <c r="L58" s="5">
        <v>49.86</v>
      </c>
      <c r="M58" s="5">
        <v>36.28</v>
      </c>
      <c r="N58" s="5">
        <v>13.98</v>
      </c>
      <c r="O58" s="5">
        <v>56.2</v>
      </c>
    </row>
    <row r="59" spans="1:15" ht="15.75" customHeight="1" x14ac:dyDescent="0.35">
      <c r="A59" s="2">
        <v>57</v>
      </c>
      <c r="B59" s="3" t="s">
        <v>136</v>
      </c>
      <c r="C59" s="4" t="s">
        <v>137</v>
      </c>
      <c r="D59" s="4" t="s">
        <v>65</v>
      </c>
      <c r="E59" s="5">
        <v>37.69</v>
      </c>
      <c r="F59" s="5">
        <v>39.26</v>
      </c>
      <c r="G59" s="5">
        <v>0.96</v>
      </c>
      <c r="H59" s="5">
        <v>40.85</v>
      </c>
      <c r="I59" s="5">
        <v>51.71</v>
      </c>
      <c r="J59" s="5">
        <v>37.020000000000003</v>
      </c>
      <c r="K59" s="5">
        <v>36.81</v>
      </c>
      <c r="L59" s="5">
        <v>29.93</v>
      </c>
      <c r="M59" s="5">
        <v>34.619999999999997</v>
      </c>
      <c r="N59" s="5">
        <v>22.42</v>
      </c>
      <c r="O59" s="5">
        <v>54.17</v>
      </c>
    </row>
    <row r="60" spans="1:15" ht="15.75" customHeight="1" x14ac:dyDescent="0.35">
      <c r="A60" s="2">
        <v>58</v>
      </c>
      <c r="B60" s="3" t="s">
        <v>138</v>
      </c>
      <c r="C60" s="4" t="s">
        <v>139</v>
      </c>
      <c r="D60" s="4" t="s">
        <v>19</v>
      </c>
      <c r="E60" s="5">
        <v>37.18</v>
      </c>
      <c r="F60" s="5">
        <v>37.18</v>
      </c>
      <c r="G60" s="5">
        <v>1</v>
      </c>
      <c r="H60" s="5">
        <v>27.94</v>
      </c>
      <c r="I60" s="5">
        <v>28.7</v>
      </c>
      <c r="J60" s="5">
        <v>58.87</v>
      </c>
      <c r="K60" s="5">
        <v>37.880000000000003</v>
      </c>
      <c r="L60" s="5">
        <v>32.479999999999997</v>
      </c>
      <c r="M60" s="5">
        <v>20.85</v>
      </c>
      <c r="N60" s="5">
        <v>52.89</v>
      </c>
      <c r="O60" s="5">
        <v>64.58</v>
      </c>
    </row>
    <row r="61" spans="1:15" ht="15.75" customHeight="1" x14ac:dyDescent="0.35">
      <c r="A61" s="2">
        <v>59</v>
      </c>
      <c r="B61" s="3" t="s">
        <v>140</v>
      </c>
      <c r="C61" s="4" t="s">
        <v>141</v>
      </c>
      <c r="D61" s="4" t="s">
        <v>98</v>
      </c>
      <c r="E61" s="5">
        <v>37.01</v>
      </c>
      <c r="F61" s="5">
        <v>37.01</v>
      </c>
      <c r="G61" s="5">
        <v>1</v>
      </c>
      <c r="H61" s="5">
        <v>21.77</v>
      </c>
      <c r="I61" s="5">
        <v>44.27</v>
      </c>
      <c r="J61" s="5">
        <v>46.44</v>
      </c>
      <c r="K61" s="5">
        <v>35.909999999999997</v>
      </c>
      <c r="L61" s="5">
        <v>36.64</v>
      </c>
      <c r="M61" s="5">
        <v>35.79</v>
      </c>
      <c r="N61" s="5">
        <v>17.78</v>
      </c>
      <c r="O61" s="5">
        <v>45.85</v>
      </c>
    </row>
    <row r="62" spans="1:15" ht="15.75" customHeight="1" x14ac:dyDescent="0.35">
      <c r="A62" s="2">
        <v>60</v>
      </c>
      <c r="B62" s="3" t="s">
        <v>142</v>
      </c>
      <c r="C62" s="4" t="s">
        <v>143</v>
      </c>
      <c r="D62" s="4" t="s">
        <v>65</v>
      </c>
      <c r="E62" s="5">
        <v>36.99</v>
      </c>
      <c r="F62" s="5">
        <v>36.99</v>
      </c>
      <c r="G62" s="5">
        <v>1</v>
      </c>
      <c r="H62" s="5">
        <v>21.85</v>
      </c>
      <c r="I62" s="5">
        <v>33.36</v>
      </c>
      <c r="J62" s="5">
        <v>49.67</v>
      </c>
      <c r="K62" s="5">
        <v>36.99</v>
      </c>
      <c r="L62" s="5">
        <v>43.06</v>
      </c>
      <c r="M62" s="5">
        <v>29.57</v>
      </c>
      <c r="N62" s="5">
        <v>19.55</v>
      </c>
      <c r="O62" s="5">
        <v>57.62</v>
      </c>
    </row>
    <row r="63" spans="1:15" ht="15.75" customHeight="1" x14ac:dyDescent="0.35">
      <c r="A63" s="2">
        <v>61</v>
      </c>
      <c r="B63" s="3" t="s">
        <v>144</v>
      </c>
      <c r="C63" s="4" t="s">
        <v>145</v>
      </c>
      <c r="D63" s="4" t="s">
        <v>40</v>
      </c>
      <c r="E63" s="5">
        <v>36.659999999999997</v>
      </c>
      <c r="F63" s="5">
        <v>36.659999999999997</v>
      </c>
      <c r="G63" s="5">
        <v>1</v>
      </c>
      <c r="H63" s="5">
        <v>29.17</v>
      </c>
      <c r="I63" s="5">
        <v>59.84</v>
      </c>
      <c r="J63" s="5">
        <v>30.53</v>
      </c>
      <c r="K63" s="5">
        <v>36.200000000000003</v>
      </c>
      <c r="L63" s="5">
        <v>27.58</v>
      </c>
      <c r="M63" s="5">
        <v>33.51</v>
      </c>
      <c r="N63" s="5">
        <v>4.62</v>
      </c>
      <c r="O63" s="5">
        <v>53.66</v>
      </c>
    </row>
    <row r="64" spans="1:15" ht="15.75" customHeight="1" x14ac:dyDescent="0.35">
      <c r="A64" s="2">
        <v>62</v>
      </c>
      <c r="B64" s="3" t="s">
        <v>146</v>
      </c>
      <c r="C64" s="4" t="s">
        <v>147</v>
      </c>
      <c r="D64" s="4" t="s">
        <v>105</v>
      </c>
      <c r="E64" s="5">
        <v>36.21</v>
      </c>
      <c r="F64" s="5">
        <v>36.21</v>
      </c>
      <c r="G64" s="5">
        <v>1</v>
      </c>
      <c r="H64" s="5">
        <v>44.87</v>
      </c>
      <c r="I64" s="5">
        <v>38.61</v>
      </c>
      <c r="J64" s="5">
        <v>16.399999999999999</v>
      </c>
      <c r="K64" s="5">
        <v>43.55</v>
      </c>
      <c r="L64" s="5">
        <v>37.590000000000003</v>
      </c>
      <c r="M64" s="5">
        <v>34.68</v>
      </c>
      <c r="N64" s="5">
        <v>6.5</v>
      </c>
      <c r="O64" s="5">
        <v>49.16</v>
      </c>
    </row>
    <row r="65" spans="1:15" ht="15.75" customHeight="1" x14ac:dyDescent="0.35">
      <c r="A65" s="2">
        <v>63</v>
      </c>
      <c r="B65" s="3" t="s">
        <v>148</v>
      </c>
      <c r="C65" s="4" t="s">
        <v>149</v>
      </c>
      <c r="D65" s="4" t="s">
        <v>98</v>
      </c>
      <c r="E65" s="5">
        <v>35.619999999999997</v>
      </c>
      <c r="F65" s="5">
        <v>35.619999999999997</v>
      </c>
      <c r="G65" s="5">
        <v>1</v>
      </c>
      <c r="H65" s="5">
        <v>27.16</v>
      </c>
      <c r="I65" s="5">
        <v>29.43</v>
      </c>
      <c r="J65" s="5">
        <v>46.21</v>
      </c>
      <c r="K65" s="5">
        <v>52.23</v>
      </c>
      <c r="L65" s="5">
        <v>23.05</v>
      </c>
      <c r="M65" s="5">
        <v>29.39</v>
      </c>
      <c r="N65" s="5">
        <v>22.56</v>
      </c>
      <c r="O65" s="5">
        <v>52.41</v>
      </c>
    </row>
    <row r="66" spans="1:15" ht="15.75" customHeight="1" x14ac:dyDescent="0.35">
      <c r="A66" s="2">
        <v>64</v>
      </c>
      <c r="B66" s="3" t="s">
        <v>150</v>
      </c>
      <c r="C66" s="4" t="s">
        <v>151</v>
      </c>
      <c r="D66" s="4" t="s">
        <v>98</v>
      </c>
      <c r="E66" s="5">
        <v>35.18</v>
      </c>
      <c r="F66" s="5">
        <v>35.18</v>
      </c>
      <c r="G66" s="5">
        <v>1</v>
      </c>
      <c r="H66" s="5">
        <v>39.33</v>
      </c>
      <c r="I66" s="5">
        <v>40.44</v>
      </c>
      <c r="J66" s="5">
        <v>31.37</v>
      </c>
      <c r="K66" s="5">
        <v>31.37</v>
      </c>
      <c r="L66" s="5">
        <v>33.380000000000003</v>
      </c>
      <c r="M66" s="5">
        <v>31.37</v>
      </c>
      <c r="N66" s="5">
        <v>9</v>
      </c>
      <c r="O66" s="5">
        <v>51.52</v>
      </c>
    </row>
    <row r="67" spans="1:15" ht="15.75" customHeight="1" x14ac:dyDescent="0.35">
      <c r="A67" s="2">
        <v>65</v>
      </c>
      <c r="B67" s="3" t="s">
        <v>152</v>
      </c>
      <c r="C67" s="4" t="s">
        <v>153</v>
      </c>
      <c r="D67" s="4" t="s">
        <v>40</v>
      </c>
      <c r="E67" s="5">
        <v>34.31</v>
      </c>
      <c r="F67" s="5">
        <v>34.31</v>
      </c>
      <c r="G67" s="5">
        <v>1</v>
      </c>
      <c r="H67" s="5">
        <v>29.76</v>
      </c>
      <c r="I67" s="5">
        <v>33.31</v>
      </c>
      <c r="J67" s="5">
        <v>31.53</v>
      </c>
      <c r="K67" s="5">
        <v>41.2</v>
      </c>
      <c r="L67" s="5">
        <v>35.74</v>
      </c>
      <c r="M67" s="5">
        <v>20.41</v>
      </c>
      <c r="N67" s="5">
        <v>26.72</v>
      </c>
      <c r="O67" s="5">
        <v>64.63</v>
      </c>
    </row>
    <row r="68" spans="1:15" ht="15.75" customHeight="1" x14ac:dyDescent="0.35">
      <c r="A68" s="2">
        <v>66</v>
      </c>
      <c r="B68" s="3" t="s">
        <v>154</v>
      </c>
      <c r="C68" s="4" t="s">
        <v>155</v>
      </c>
      <c r="D68" s="4" t="s">
        <v>98</v>
      </c>
      <c r="E68" s="5">
        <v>33.56</v>
      </c>
      <c r="F68" s="5">
        <v>33.56</v>
      </c>
      <c r="G68" s="5">
        <v>1</v>
      </c>
      <c r="H68" s="5">
        <v>12.67</v>
      </c>
      <c r="I68" s="5">
        <v>33.71</v>
      </c>
      <c r="J68" s="5">
        <v>44.88</v>
      </c>
      <c r="K68" s="5">
        <v>30.76</v>
      </c>
      <c r="L68" s="5">
        <v>45.76</v>
      </c>
      <c r="M68" s="5">
        <v>28.47</v>
      </c>
      <c r="N68" s="5">
        <v>6</v>
      </c>
      <c r="O68" s="5">
        <v>52.92</v>
      </c>
    </row>
    <row r="69" spans="1:15" ht="15.75" customHeight="1" x14ac:dyDescent="0.35">
      <c r="A69" s="2">
        <v>67</v>
      </c>
      <c r="B69" s="3" t="s">
        <v>156</v>
      </c>
      <c r="C69" s="4" t="s">
        <v>157</v>
      </c>
      <c r="D69" s="4" t="s">
        <v>105</v>
      </c>
      <c r="E69" s="5">
        <v>33.36</v>
      </c>
      <c r="F69" s="5">
        <v>34.75</v>
      </c>
      <c r="G69" s="5">
        <v>0.96</v>
      </c>
      <c r="H69" s="5">
        <v>22.04</v>
      </c>
      <c r="I69" s="5">
        <v>39.25</v>
      </c>
      <c r="J69" s="5">
        <v>41.47</v>
      </c>
      <c r="K69" s="5">
        <v>48.77</v>
      </c>
      <c r="L69" s="5">
        <v>22.24</v>
      </c>
      <c r="M69" s="5">
        <v>29.82</v>
      </c>
      <c r="N69" s="5">
        <v>1.54</v>
      </c>
      <c r="O69" s="5">
        <v>55.68</v>
      </c>
    </row>
    <row r="70" spans="1:15" ht="15.75" customHeight="1" x14ac:dyDescent="0.35">
      <c r="A70" s="2">
        <v>68</v>
      </c>
      <c r="B70" s="3" t="s">
        <v>158</v>
      </c>
      <c r="C70" s="4" t="s">
        <v>159</v>
      </c>
      <c r="D70" s="4" t="s">
        <v>65</v>
      </c>
      <c r="E70" s="5">
        <v>32.979999999999997</v>
      </c>
      <c r="F70" s="5">
        <v>32.979999999999997</v>
      </c>
      <c r="G70" s="5">
        <v>1</v>
      </c>
      <c r="H70" s="5">
        <v>29.41</v>
      </c>
      <c r="I70" s="5">
        <v>33.74</v>
      </c>
      <c r="J70" s="5">
        <v>30.69</v>
      </c>
      <c r="K70" s="5">
        <v>37.39</v>
      </c>
      <c r="L70" s="5">
        <v>33.65</v>
      </c>
      <c r="M70" s="5">
        <v>25.46</v>
      </c>
      <c r="N70" s="5">
        <v>13.76</v>
      </c>
      <c r="O70" s="5">
        <v>54.41</v>
      </c>
    </row>
    <row r="71" spans="1:15" ht="15.75" customHeight="1" x14ac:dyDescent="0.35">
      <c r="A71" s="2">
        <v>69</v>
      </c>
      <c r="B71" s="3" t="s">
        <v>160</v>
      </c>
      <c r="C71" s="4" t="s">
        <v>161</v>
      </c>
      <c r="D71" s="4" t="s">
        <v>19</v>
      </c>
      <c r="E71" s="5">
        <v>32.43</v>
      </c>
      <c r="F71" s="5">
        <v>32.43</v>
      </c>
      <c r="G71" s="5">
        <v>1</v>
      </c>
      <c r="H71" s="5">
        <v>18.32</v>
      </c>
      <c r="I71" s="5">
        <v>49.91</v>
      </c>
      <c r="J71" s="5">
        <v>20.56</v>
      </c>
      <c r="K71" s="5">
        <v>54.81</v>
      </c>
      <c r="L71" s="5">
        <v>18.55</v>
      </c>
      <c r="M71" s="5">
        <v>20.329999999999998</v>
      </c>
      <c r="N71" s="5">
        <v>5.64</v>
      </c>
      <c r="O71" s="5">
        <v>65.55</v>
      </c>
    </row>
    <row r="72" spans="1:15" ht="15.75" customHeight="1" x14ac:dyDescent="0.35">
      <c r="A72" s="2">
        <v>70</v>
      </c>
      <c r="B72" s="3" t="s">
        <v>162</v>
      </c>
      <c r="C72" s="4" t="s">
        <v>163</v>
      </c>
      <c r="D72" s="4" t="s">
        <v>65</v>
      </c>
      <c r="E72" s="5">
        <v>32.340000000000003</v>
      </c>
      <c r="F72" s="5">
        <v>32.340000000000003</v>
      </c>
      <c r="G72" s="5">
        <v>1</v>
      </c>
      <c r="H72" s="5">
        <v>48.63</v>
      </c>
      <c r="I72" s="5">
        <v>17.22</v>
      </c>
      <c r="J72" s="5">
        <v>44.91</v>
      </c>
      <c r="K72" s="5">
        <v>29.32</v>
      </c>
      <c r="L72" s="5">
        <v>21.62</v>
      </c>
      <c r="M72" s="5">
        <v>23.79</v>
      </c>
      <c r="N72" s="5">
        <v>12.89</v>
      </c>
      <c r="O72" s="5">
        <v>55.92</v>
      </c>
    </row>
    <row r="73" spans="1:15" ht="15.75" customHeight="1" x14ac:dyDescent="0.35">
      <c r="A73" s="2">
        <v>71</v>
      </c>
      <c r="B73" s="3" t="s">
        <v>164</v>
      </c>
      <c r="C73" s="4" t="s">
        <v>165</v>
      </c>
      <c r="D73" s="4" t="s">
        <v>19</v>
      </c>
      <c r="E73" s="5">
        <v>32.29</v>
      </c>
      <c r="F73" s="5">
        <v>32.29</v>
      </c>
      <c r="G73" s="5">
        <v>1</v>
      </c>
      <c r="H73" s="5">
        <v>36.93</v>
      </c>
      <c r="I73" s="5">
        <v>42.6</v>
      </c>
      <c r="J73" s="5">
        <v>29.74</v>
      </c>
      <c r="K73" s="5">
        <v>25.94</v>
      </c>
      <c r="L73" s="5">
        <v>26.22</v>
      </c>
      <c r="M73" s="5">
        <v>17.8</v>
      </c>
      <c r="N73" s="5">
        <v>10.76</v>
      </c>
      <c r="O73" s="5">
        <v>68.430000000000007</v>
      </c>
    </row>
    <row r="74" spans="1:15" ht="15.75" customHeight="1" x14ac:dyDescent="0.35">
      <c r="A74" s="2">
        <v>72</v>
      </c>
      <c r="B74" s="3" t="s">
        <v>166</v>
      </c>
      <c r="C74" s="4" t="s">
        <v>167</v>
      </c>
      <c r="D74" s="4" t="s">
        <v>65</v>
      </c>
      <c r="E74" s="5">
        <v>32.08</v>
      </c>
      <c r="F74" s="5">
        <v>32.08</v>
      </c>
      <c r="G74" s="5">
        <v>1</v>
      </c>
      <c r="H74" s="5">
        <v>25.48</v>
      </c>
      <c r="I74" s="5">
        <v>32.85</v>
      </c>
      <c r="J74" s="5">
        <v>33.42</v>
      </c>
      <c r="K74" s="5">
        <v>40.6</v>
      </c>
      <c r="L74" s="5">
        <v>28.04</v>
      </c>
      <c r="M74" s="5">
        <v>22.09</v>
      </c>
      <c r="N74" s="5">
        <v>23.29</v>
      </c>
      <c r="O74" s="5">
        <v>54.99</v>
      </c>
    </row>
    <row r="75" spans="1:15" ht="15.75" customHeight="1" x14ac:dyDescent="0.35">
      <c r="A75" s="2">
        <v>73</v>
      </c>
      <c r="B75" s="3" t="s">
        <v>168</v>
      </c>
      <c r="C75" s="4" t="s">
        <v>169</v>
      </c>
      <c r="D75" s="4" t="s">
        <v>98</v>
      </c>
      <c r="E75" s="5">
        <v>31.33</v>
      </c>
      <c r="F75" s="5">
        <v>31.33</v>
      </c>
      <c r="G75" s="5">
        <v>1</v>
      </c>
      <c r="H75" s="5">
        <v>17.920000000000002</v>
      </c>
      <c r="I75" s="5">
        <v>47.75</v>
      </c>
      <c r="J75" s="5">
        <v>43.08</v>
      </c>
      <c r="K75" s="5">
        <v>32.81</v>
      </c>
      <c r="L75" s="5">
        <v>15.1</v>
      </c>
      <c r="M75" s="5">
        <v>33.56</v>
      </c>
      <c r="N75" s="5">
        <v>0.88</v>
      </c>
      <c r="O75" s="5">
        <v>37.020000000000003</v>
      </c>
    </row>
    <row r="76" spans="1:15" ht="15.75" customHeight="1" x14ac:dyDescent="0.35">
      <c r="A76" s="2">
        <v>74</v>
      </c>
      <c r="B76" s="3" t="s">
        <v>170</v>
      </c>
      <c r="C76" s="4" t="s">
        <v>171</v>
      </c>
      <c r="D76" s="4" t="s">
        <v>98</v>
      </c>
      <c r="E76" s="5">
        <v>31.22</v>
      </c>
      <c r="F76" s="5">
        <v>31.22</v>
      </c>
      <c r="G76" s="5">
        <v>1</v>
      </c>
      <c r="H76" s="5">
        <v>15.85</v>
      </c>
      <c r="I76" s="5">
        <v>19.739999999999998</v>
      </c>
      <c r="J76" s="5">
        <v>43.28</v>
      </c>
      <c r="K76" s="5">
        <v>31.06</v>
      </c>
      <c r="L76" s="5">
        <v>46.2</v>
      </c>
      <c r="M76" s="5">
        <v>26.17</v>
      </c>
      <c r="N76" s="5">
        <v>6</v>
      </c>
      <c r="O76" s="5">
        <v>49.73</v>
      </c>
    </row>
    <row r="77" spans="1:15" ht="15.75" customHeight="1" x14ac:dyDescent="0.35">
      <c r="A77" s="2">
        <v>75</v>
      </c>
      <c r="B77" s="3" t="s">
        <v>172</v>
      </c>
      <c r="C77" s="4" t="s">
        <v>173</v>
      </c>
      <c r="D77" s="4" t="s">
        <v>105</v>
      </c>
      <c r="E77" s="5">
        <v>30.49</v>
      </c>
      <c r="F77" s="5">
        <v>30.49</v>
      </c>
      <c r="G77" s="5">
        <v>1</v>
      </c>
      <c r="H77" s="5">
        <v>17.95</v>
      </c>
      <c r="I77" s="5">
        <v>39.880000000000003</v>
      </c>
      <c r="J77" s="5">
        <v>32.71</v>
      </c>
      <c r="K77" s="5">
        <v>39.08</v>
      </c>
      <c r="L77" s="5">
        <v>22.84</v>
      </c>
      <c r="M77" s="5">
        <v>25.12</v>
      </c>
      <c r="N77" s="5">
        <v>0</v>
      </c>
      <c r="O77" s="5">
        <v>51.4</v>
      </c>
    </row>
    <row r="78" spans="1:15" ht="15.75" customHeight="1" x14ac:dyDescent="0.35">
      <c r="A78" s="2">
        <v>76</v>
      </c>
      <c r="B78" s="3" t="s">
        <v>174</v>
      </c>
      <c r="C78" s="4" t="s">
        <v>175</v>
      </c>
      <c r="D78" s="4" t="s">
        <v>65</v>
      </c>
      <c r="E78" s="5">
        <v>29.95</v>
      </c>
      <c r="F78" s="5">
        <v>29.95</v>
      </c>
      <c r="G78" s="5">
        <v>1</v>
      </c>
      <c r="H78" s="5">
        <v>31.36</v>
      </c>
      <c r="I78" s="5">
        <v>17.059999999999999</v>
      </c>
      <c r="J78" s="5">
        <v>45.46</v>
      </c>
      <c r="K78" s="5">
        <v>23.77</v>
      </c>
      <c r="L78" s="5">
        <v>32.11</v>
      </c>
      <c r="M78" s="5">
        <v>22.12</v>
      </c>
      <c r="N78" s="5">
        <v>13.64</v>
      </c>
      <c r="O78" s="5">
        <v>51.05</v>
      </c>
    </row>
    <row r="79" spans="1:15" ht="15.75" customHeight="1" x14ac:dyDescent="0.35">
      <c r="A79" s="2">
        <v>77</v>
      </c>
      <c r="B79" s="3" t="s">
        <v>176</v>
      </c>
      <c r="C79" s="4" t="s">
        <v>177</v>
      </c>
      <c r="D79" s="4" t="s">
        <v>98</v>
      </c>
      <c r="E79" s="5">
        <v>29.68</v>
      </c>
      <c r="F79" s="5">
        <v>29.68</v>
      </c>
      <c r="G79" s="5">
        <v>1</v>
      </c>
      <c r="H79" s="5">
        <v>30.44</v>
      </c>
      <c r="I79" s="5">
        <v>19.989999999999998</v>
      </c>
      <c r="J79" s="5">
        <v>31.88</v>
      </c>
      <c r="K79" s="5">
        <v>40.130000000000003</v>
      </c>
      <c r="L79" s="5">
        <v>25.94</v>
      </c>
      <c r="M79" s="5">
        <v>10.81</v>
      </c>
      <c r="N79" s="5">
        <v>43.73</v>
      </c>
      <c r="O79" s="5">
        <v>62.72</v>
      </c>
    </row>
    <row r="80" spans="1:15" ht="15.75" customHeight="1" x14ac:dyDescent="0.35">
      <c r="A80" s="2">
        <v>78</v>
      </c>
      <c r="B80" s="3" t="s">
        <v>178</v>
      </c>
      <c r="C80" s="4" t="s">
        <v>179</v>
      </c>
      <c r="D80" s="4" t="s">
        <v>98</v>
      </c>
      <c r="E80" s="5">
        <v>29.24</v>
      </c>
      <c r="F80" s="5">
        <v>29.24</v>
      </c>
      <c r="G80" s="5">
        <v>1</v>
      </c>
      <c r="H80" s="5">
        <v>35.36</v>
      </c>
      <c r="I80" s="5">
        <v>25.47</v>
      </c>
      <c r="J80" s="5">
        <v>42.96</v>
      </c>
      <c r="K80" s="5">
        <v>20.29</v>
      </c>
      <c r="L80" s="5">
        <v>22.14</v>
      </c>
      <c r="M80" s="5">
        <v>31.99</v>
      </c>
      <c r="N80" s="5">
        <v>2.93</v>
      </c>
      <c r="O80" s="5">
        <v>32.53</v>
      </c>
    </row>
    <row r="81" spans="1:15" ht="15.75" customHeight="1" x14ac:dyDescent="0.35">
      <c r="A81" s="2">
        <v>79</v>
      </c>
      <c r="B81" s="3" t="s">
        <v>180</v>
      </c>
      <c r="C81" s="4" t="s">
        <v>181</v>
      </c>
      <c r="D81" s="4" t="s">
        <v>98</v>
      </c>
      <c r="E81" s="5">
        <v>29.12</v>
      </c>
      <c r="F81" s="5">
        <v>29.12</v>
      </c>
      <c r="G81" s="5">
        <v>1</v>
      </c>
      <c r="H81" s="5">
        <v>11.46</v>
      </c>
      <c r="I81" s="5">
        <v>39.630000000000003</v>
      </c>
      <c r="J81" s="5">
        <v>40.25</v>
      </c>
      <c r="K81" s="5">
        <v>32.450000000000003</v>
      </c>
      <c r="L81" s="5">
        <v>21.79</v>
      </c>
      <c r="M81" s="5">
        <v>19.91</v>
      </c>
      <c r="N81" s="5">
        <v>17.32</v>
      </c>
      <c r="O81" s="5">
        <v>51.46</v>
      </c>
    </row>
    <row r="82" spans="1:15" ht="15.75" customHeight="1" x14ac:dyDescent="0.35">
      <c r="A82" s="2">
        <v>80</v>
      </c>
      <c r="B82" s="3" t="s">
        <v>182</v>
      </c>
      <c r="C82" s="4" t="s">
        <v>183</v>
      </c>
      <c r="D82" s="4" t="s">
        <v>98</v>
      </c>
      <c r="E82" s="5">
        <v>28.19</v>
      </c>
      <c r="F82" s="5">
        <v>28.19</v>
      </c>
      <c r="G82" s="5">
        <v>1</v>
      </c>
      <c r="H82" s="5">
        <v>27.07</v>
      </c>
      <c r="I82" s="5">
        <v>24.61</v>
      </c>
      <c r="J82" s="5">
        <v>37.75</v>
      </c>
      <c r="K82" s="5">
        <v>29.64</v>
      </c>
      <c r="L82" s="5">
        <v>21.87</v>
      </c>
      <c r="M82" s="5">
        <v>27.42</v>
      </c>
      <c r="N82" s="5">
        <v>4.0999999999999996</v>
      </c>
      <c r="O82" s="5">
        <v>37.75</v>
      </c>
    </row>
    <row r="83" spans="1:15" ht="15.75" customHeight="1" x14ac:dyDescent="0.35">
      <c r="A83" s="2">
        <v>81</v>
      </c>
      <c r="B83" s="3" t="s">
        <v>184</v>
      </c>
      <c r="C83" s="4" t="s">
        <v>185</v>
      </c>
      <c r="D83" s="4" t="s">
        <v>40</v>
      </c>
      <c r="E83" s="5">
        <v>27.95</v>
      </c>
      <c r="F83" s="5">
        <v>29.11</v>
      </c>
      <c r="G83" s="5">
        <v>0.96</v>
      </c>
      <c r="H83" s="5">
        <v>41.88</v>
      </c>
      <c r="I83" s="5">
        <v>17.489999999999998</v>
      </c>
      <c r="J83" s="5">
        <v>33.1</v>
      </c>
      <c r="K83" s="5">
        <v>32.22</v>
      </c>
      <c r="L83" s="5">
        <v>20.88</v>
      </c>
      <c r="M83" s="5">
        <v>15.57</v>
      </c>
      <c r="N83" s="5">
        <v>29.52</v>
      </c>
      <c r="O83" s="5">
        <v>56.07</v>
      </c>
    </row>
    <row r="84" spans="1:15" ht="15.75" customHeight="1" x14ac:dyDescent="0.35">
      <c r="A84" s="2">
        <v>82</v>
      </c>
      <c r="B84" s="3" t="s">
        <v>186</v>
      </c>
      <c r="C84" s="4" t="s">
        <v>187</v>
      </c>
      <c r="D84" s="4" t="s">
        <v>19</v>
      </c>
      <c r="E84" s="5">
        <v>27.65</v>
      </c>
      <c r="F84" s="5">
        <v>28.8</v>
      </c>
      <c r="G84" s="5">
        <v>0.96</v>
      </c>
      <c r="H84" s="5">
        <v>26.3</v>
      </c>
      <c r="I84" s="5">
        <v>27.02</v>
      </c>
      <c r="J84" s="5">
        <v>34.86</v>
      </c>
      <c r="K84" s="5">
        <v>28.65</v>
      </c>
      <c r="L84" s="5">
        <v>27.18</v>
      </c>
      <c r="M84" s="5">
        <v>9.2200000000000006</v>
      </c>
      <c r="N84" s="5">
        <v>27.93</v>
      </c>
      <c r="O84" s="5">
        <v>68.260000000000005</v>
      </c>
    </row>
    <row r="85" spans="1:15" ht="15.75" customHeight="1" x14ac:dyDescent="0.35">
      <c r="A85" s="2">
        <v>83</v>
      </c>
      <c r="B85" s="3" t="s">
        <v>188</v>
      </c>
      <c r="C85" s="4" t="s">
        <v>189</v>
      </c>
      <c r="D85" s="4" t="s">
        <v>65</v>
      </c>
      <c r="E85" s="5">
        <v>26.82</v>
      </c>
      <c r="F85" s="5">
        <v>26.82</v>
      </c>
      <c r="G85" s="5">
        <v>1</v>
      </c>
      <c r="H85" s="5">
        <v>26.99</v>
      </c>
      <c r="I85" s="5">
        <v>17.11</v>
      </c>
      <c r="J85" s="5">
        <v>37.14</v>
      </c>
      <c r="K85" s="5">
        <v>25.86</v>
      </c>
      <c r="L85" s="5">
        <v>26.99</v>
      </c>
      <c r="M85" s="5">
        <v>20.149999999999999</v>
      </c>
      <c r="N85" s="5">
        <v>6.15</v>
      </c>
      <c r="O85" s="5">
        <v>47.04</v>
      </c>
    </row>
    <row r="86" spans="1:15" ht="15.75" customHeight="1" x14ac:dyDescent="0.35">
      <c r="A86" s="2">
        <v>84</v>
      </c>
      <c r="B86" s="3" t="s">
        <v>190</v>
      </c>
      <c r="C86" s="4" t="s">
        <v>191</v>
      </c>
      <c r="D86" s="4" t="s">
        <v>98</v>
      </c>
      <c r="E86" s="5">
        <v>26.29</v>
      </c>
      <c r="F86" s="5">
        <v>26.29</v>
      </c>
      <c r="G86" s="5">
        <v>1</v>
      </c>
      <c r="H86" s="5">
        <v>19.87</v>
      </c>
      <c r="I86" s="5">
        <v>27.95</v>
      </c>
      <c r="J86" s="5">
        <v>35</v>
      </c>
      <c r="K86" s="5">
        <v>26.59</v>
      </c>
      <c r="L86" s="5">
        <v>22.06</v>
      </c>
      <c r="M86" s="5">
        <v>10.45</v>
      </c>
      <c r="N86" s="5">
        <v>0</v>
      </c>
      <c r="O86" s="5">
        <v>66.739999999999995</v>
      </c>
    </row>
    <row r="87" spans="1:15" ht="15.75" customHeight="1" x14ac:dyDescent="0.35">
      <c r="A87" s="2">
        <v>85</v>
      </c>
      <c r="B87" s="3" t="s">
        <v>192</v>
      </c>
      <c r="C87" s="4" t="s">
        <v>193</v>
      </c>
      <c r="D87" s="4" t="s">
        <v>40</v>
      </c>
      <c r="E87" s="5">
        <v>26.14</v>
      </c>
      <c r="F87" s="5">
        <v>26.14</v>
      </c>
      <c r="G87" s="5">
        <v>1</v>
      </c>
      <c r="H87" s="5">
        <v>22.08</v>
      </c>
      <c r="I87" s="5">
        <v>35.36</v>
      </c>
      <c r="J87" s="5">
        <v>20.2</v>
      </c>
      <c r="K87" s="5">
        <v>31.48</v>
      </c>
      <c r="L87" s="5">
        <v>21.59</v>
      </c>
      <c r="M87" s="5">
        <v>8.31</v>
      </c>
      <c r="N87" s="5">
        <v>18.39</v>
      </c>
      <c r="O87" s="5">
        <v>64.39</v>
      </c>
    </row>
    <row r="88" spans="1:15" ht="15.75" customHeight="1" x14ac:dyDescent="0.35">
      <c r="A88" s="2">
        <v>86</v>
      </c>
      <c r="B88" s="3" t="s">
        <v>194</v>
      </c>
      <c r="C88" s="4" t="s">
        <v>195</v>
      </c>
      <c r="D88" s="4" t="s">
        <v>93</v>
      </c>
      <c r="E88" s="5">
        <v>26.14</v>
      </c>
      <c r="F88" s="5">
        <v>26.14</v>
      </c>
      <c r="G88" s="5">
        <v>1</v>
      </c>
      <c r="H88" s="5">
        <v>25.57</v>
      </c>
      <c r="I88" s="5">
        <v>20.329999999999998</v>
      </c>
      <c r="J88" s="5">
        <v>34.14</v>
      </c>
      <c r="K88" s="5">
        <v>25.35</v>
      </c>
      <c r="L88" s="5">
        <v>25.32</v>
      </c>
      <c r="M88" s="5">
        <v>13.05</v>
      </c>
      <c r="N88" s="5">
        <v>13.49</v>
      </c>
      <c r="O88" s="5">
        <v>56.54</v>
      </c>
    </row>
    <row r="89" spans="1:15" ht="15.75" customHeight="1" x14ac:dyDescent="0.35">
      <c r="A89" s="2">
        <v>87</v>
      </c>
      <c r="B89" s="3" t="s">
        <v>196</v>
      </c>
      <c r="C89" s="4" t="s">
        <v>197</v>
      </c>
      <c r="D89" s="4" t="s">
        <v>40</v>
      </c>
      <c r="E89" s="5">
        <v>25.56</v>
      </c>
      <c r="F89" s="5">
        <v>25.56</v>
      </c>
      <c r="G89" s="5">
        <v>1</v>
      </c>
      <c r="H89" s="5">
        <v>25.18</v>
      </c>
      <c r="I89" s="5">
        <v>25.45</v>
      </c>
      <c r="J89" s="5">
        <v>25.39</v>
      </c>
      <c r="K89" s="5">
        <v>27.84</v>
      </c>
      <c r="L89" s="5">
        <v>23.92</v>
      </c>
      <c r="M89" s="5">
        <v>7.63</v>
      </c>
      <c r="N89" s="5">
        <v>13.72</v>
      </c>
      <c r="O89" s="5">
        <v>65.34</v>
      </c>
    </row>
    <row r="90" spans="1:15" ht="15.75" customHeight="1" x14ac:dyDescent="0.35">
      <c r="A90" s="2">
        <v>88</v>
      </c>
      <c r="B90" s="3" t="s">
        <v>198</v>
      </c>
      <c r="C90" s="4" t="s">
        <v>199</v>
      </c>
      <c r="D90" s="4" t="s">
        <v>93</v>
      </c>
      <c r="E90" s="5">
        <v>24.25</v>
      </c>
      <c r="F90" s="5">
        <v>24.25</v>
      </c>
      <c r="G90" s="5">
        <v>1</v>
      </c>
      <c r="H90" s="5">
        <v>22.14</v>
      </c>
      <c r="I90" s="5">
        <v>31.15</v>
      </c>
      <c r="J90" s="5">
        <v>26.66</v>
      </c>
      <c r="K90" s="5">
        <v>19.57</v>
      </c>
      <c r="L90" s="5">
        <v>21.72</v>
      </c>
      <c r="M90" s="5">
        <v>10.53</v>
      </c>
      <c r="N90" s="5">
        <v>7.69</v>
      </c>
      <c r="O90" s="5">
        <v>57.21</v>
      </c>
    </row>
    <row r="91" spans="1:15" ht="15.75" customHeight="1" x14ac:dyDescent="0.35">
      <c r="A91" s="2">
        <v>89</v>
      </c>
      <c r="B91" s="3" t="s">
        <v>200</v>
      </c>
      <c r="C91" s="4" t="s">
        <v>201</v>
      </c>
      <c r="D91" s="4" t="s">
        <v>65</v>
      </c>
      <c r="E91" s="5">
        <v>24.09</v>
      </c>
      <c r="F91" s="5">
        <v>24.09</v>
      </c>
      <c r="G91" s="5">
        <v>1</v>
      </c>
      <c r="H91" s="5">
        <v>27.67</v>
      </c>
      <c r="I91" s="5">
        <v>16.3</v>
      </c>
      <c r="J91" s="5">
        <v>28.23</v>
      </c>
      <c r="K91" s="5">
        <v>21.95</v>
      </c>
      <c r="L91" s="5">
        <v>26.31</v>
      </c>
      <c r="M91" s="5">
        <v>15.51</v>
      </c>
      <c r="N91" s="5">
        <v>28.57</v>
      </c>
      <c r="O91" s="5">
        <v>39.76</v>
      </c>
    </row>
    <row r="92" spans="1:15" ht="15.75" customHeight="1" x14ac:dyDescent="0.35">
      <c r="A92" s="2">
        <v>90</v>
      </c>
      <c r="B92" s="3" t="s">
        <v>202</v>
      </c>
      <c r="C92" s="4" t="s">
        <v>203</v>
      </c>
      <c r="D92" s="4" t="s">
        <v>105</v>
      </c>
      <c r="E92" s="5">
        <v>24.03</v>
      </c>
      <c r="F92" s="5">
        <v>25.03</v>
      </c>
      <c r="G92" s="5">
        <v>0.96</v>
      </c>
      <c r="H92" s="5">
        <v>20.71</v>
      </c>
      <c r="I92" s="5">
        <v>20.67</v>
      </c>
      <c r="J92" s="5">
        <v>28.11</v>
      </c>
      <c r="K92" s="5">
        <v>38.619999999999997</v>
      </c>
      <c r="L92" s="5">
        <v>17.02</v>
      </c>
      <c r="M92" s="5">
        <v>11.08</v>
      </c>
      <c r="N92" s="5">
        <v>18.82</v>
      </c>
      <c r="O92" s="5">
        <v>54.99</v>
      </c>
    </row>
    <row r="93" spans="1:15" ht="15.75" customHeight="1" x14ac:dyDescent="0.35">
      <c r="A93" s="2">
        <v>91</v>
      </c>
      <c r="B93" s="3" t="s">
        <v>204</v>
      </c>
      <c r="C93" s="4" t="s">
        <v>205</v>
      </c>
      <c r="D93" s="4" t="s">
        <v>65</v>
      </c>
      <c r="E93" s="5">
        <v>23.35</v>
      </c>
      <c r="F93" s="5">
        <v>23.35</v>
      </c>
      <c r="G93" s="5">
        <v>1</v>
      </c>
      <c r="H93" s="5">
        <v>31.96</v>
      </c>
      <c r="I93" s="5">
        <v>25.82</v>
      </c>
      <c r="J93" s="5">
        <v>12.1</v>
      </c>
      <c r="K93" s="5">
        <v>27.02</v>
      </c>
      <c r="L93" s="5">
        <v>19.86</v>
      </c>
      <c r="M93" s="5">
        <v>7.93</v>
      </c>
      <c r="N93" s="5">
        <v>0</v>
      </c>
      <c r="O93" s="5">
        <v>61.99</v>
      </c>
    </row>
    <row r="94" spans="1:15" ht="15.75" customHeight="1" x14ac:dyDescent="0.35">
      <c r="A94" s="2">
        <v>92</v>
      </c>
      <c r="B94" s="3" t="s">
        <v>206</v>
      </c>
      <c r="C94" s="4" t="s">
        <v>207</v>
      </c>
      <c r="D94" s="4" t="s">
        <v>98</v>
      </c>
      <c r="E94" s="5">
        <v>23.05</v>
      </c>
      <c r="F94" s="5">
        <v>23.05</v>
      </c>
      <c r="G94" s="5">
        <v>1</v>
      </c>
      <c r="H94" s="5">
        <v>18.7</v>
      </c>
      <c r="I94" s="5">
        <v>28.34</v>
      </c>
      <c r="J94" s="5">
        <v>19.829999999999998</v>
      </c>
      <c r="K94" s="5">
        <v>32.39</v>
      </c>
      <c r="L94" s="5">
        <v>16.010000000000002</v>
      </c>
      <c r="M94" s="5">
        <v>10.23</v>
      </c>
      <c r="N94" s="5">
        <v>4.0999999999999996</v>
      </c>
      <c r="O94" s="5">
        <v>55.02</v>
      </c>
    </row>
    <row r="95" spans="1:15" ht="15.75" customHeight="1" x14ac:dyDescent="0.35">
      <c r="A95" s="2">
        <v>93</v>
      </c>
      <c r="B95" s="3" t="s">
        <v>208</v>
      </c>
      <c r="C95" s="4" t="s">
        <v>209</v>
      </c>
      <c r="D95" s="4" t="s">
        <v>98</v>
      </c>
      <c r="E95" s="5">
        <v>22.96</v>
      </c>
      <c r="F95" s="5">
        <v>22.96</v>
      </c>
      <c r="G95" s="5">
        <v>1</v>
      </c>
      <c r="H95" s="5">
        <v>28.9</v>
      </c>
      <c r="I95" s="5">
        <v>19.899999999999999</v>
      </c>
      <c r="J95" s="5">
        <v>18.11</v>
      </c>
      <c r="K95" s="5">
        <v>29.29</v>
      </c>
      <c r="L95" s="5">
        <v>18.600000000000001</v>
      </c>
      <c r="M95" s="5">
        <v>11.47</v>
      </c>
      <c r="N95" s="5">
        <v>12.16</v>
      </c>
      <c r="O95" s="5">
        <v>49.53</v>
      </c>
    </row>
    <row r="96" spans="1:15" ht="15.75" customHeight="1" x14ac:dyDescent="0.35">
      <c r="A96" s="2">
        <v>94</v>
      </c>
      <c r="B96" s="3" t="s">
        <v>210</v>
      </c>
      <c r="C96" s="4" t="s">
        <v>211</v>
      </c>
      <c r="D96" s="4" t="s">
        <v>98</v>
      </c>
      <c r="E96" s="5">
        <v>22.8</v>
      </c>
      <c r="F96" s="5">
        <v>22.8</v>
      </c>
      <c r="G96" s="5">
        <v>1</v>
      </c>
      <c r="H96" s="5">
        <v>28.24</v>
      </c>
      <c r="I96" s="5">
        <v>30.02</v>
      </c>
      <c r="J96" s="5">
        <v>15.8</v>
      </c>
      <c r="K96" s="5">
        <v>22.33</v>
      </c>
      <c r="L96" s="5">
        <v>17.600000000000001</v>
      </c>
      <c r="M96" s="5">
        <v>9.94</v>
      </c>
      <c r="N96" s="5">
        <v>1.75</v>
      </c>
      <c r="O96" s="5">
        <v>55.52</v>
      </c>
    </row>
    <row r="97" spans="1:15" ht="15.75" customHeight="1" x14ac:dyDescent="0.35">
      <c r="A97" s="2">
        <v>95</v>
      </c>
      <c r="B97" s="3" t="s">
        <v>212</v>
      </c>
      <c r="C97" s="4" t="s">
        <v>213</v>
      </c>
      <c r="D97" s="4" t="s">
        <v>65</v>
      </c>
      <c r="E97" s="5">
        <v>22.51</v>
      </c>
      <c r="F97" s="5">
        <v>22.51</v>
      </c>
      <c r="G97" s="5">
        <v>1</v>
      </c>
      <c r="H97" s="5">
        <v>23.43</v>
      </c>
      <c r="I97" s="5">
        <v>18.73</v>
      </c>
      <c r="J97" s="5">
        <v>20.68</v>
      </c>
      <c r="K97" s="5">
        <v>31.07</v>
      </c>
      <c r="L97" s="5">
        <v>18.63</v>
      </c>
      <c r="M97" s="5">
        <v>5.74</v>
      </c>
      <c r="N97" s="5">
        <v>5.13</v>
      </c>
      <c r="O97" s="5">
        <v>61.82</v>
      </c>
    </row>
    <row r="98" spans="1:15" ht="15.75" customHeight="1" x14ac:dyDescent="0.35">
      <c r="A98" s="2">
        <v>96</v>
      </c>
      <c r="B98" s="3" t="s">
        <v>214</v>
      </c>
      <c r="C98" s="4" t="s">
        <v>215</v>
      </c>
      <c r="D98" s="4" t="s">
        <v>40</v>
      </c>
      <c r="E98" s="5">
        <v>21.75</v>
      </c>
      <c r="F98" s="5">
        <v>21.75</v>
      </c>
      <c r="G98" s="5">
        <v>1</v>
      </c>
      <c r="H98" s="5">
        <v>18.72</v>
      </c>
      <c r="I98" s="5">
        <v>22.16</v>
      </c>
      <c r="J98" s="5">
        <v>19.98</v>
      </c>
      <c r="K98" s="5">
        <v>23.25</v>
      </c>
      <c r="L98" s="5">
        <v>24.63</v>
      </c>
      <c r="M98" s="5">
        <v>6.25</v>
      </c>
      <c r="N98" s="5">
        <v>11.85</v>
      </c>
      <c r="O98" s="5">
        <v>56.04</v>
      </c>
    </row>
    <row r="99" spans="1:15" ht="15.75" customHeight="1" x14ac:dyDescent="0.35">
      <c r="A99" s="2">
        <v>97</v>
      </c>
      <c r="B99" s="3" t="s">
        <v>216</v>
      </c>
      <c r="C99" s="4" t="s">
        <v>217</v>
      </c>
      <c r="D99" s="4" t="s">
        <v>65</v>
      </c>
      <c r="E99" s="5">
        <v>20.68</v>
      </c>
      <c r="F99" s="5">
        <v>20.68</v>
      </c>
      <c r="G99" s="5">
        <v>1</v>
      </c>
      <c r="H99" s="5">
        <v>19.170000000000002</v>
      </c>
      <c r="I99" s="5">
        <v>14.38</v>
      </c>
      <c r="J99" s="5">
        <v>22.65</v>
      </c>
      <c r="K99" s="5">
        <v>22.74</v>
      </c>
      <c r="L99" s="5">
        <v>24.45</v>
      </c>
      <c r="M99" s="5">
        <v>6.82</v>
      </c>
      <c r="N99" s="5">
        <v>2.0499999999999998</v>
      </c>
      <c r="O99" s="5">
        <v>54.6</v>
      </c>
    </row>
    <row r="100" spans="1:15" ht="15.75" customHeight="1" x14ac:dyDescent="0.35">
      <c r="A100" s="2">
        <v>98</v>
      </c>
      <c r="B100" s="3" t="s">
        <v>218</v>
      </c>
      <c r="C100" s="4" t="s">
        <v>219</v>
      </c>
      <c r="D100" s="4" t="s">
        <v>105</v>
      </c>
      <c r="E100" s="5">
        <v>20.52</v>
      </c>
      <c r="F100" s="5">
        <v>20.52</v>
      </c>
      <c r="G100" s="5">
        <v>1</v>
      </c>
      <c r="H100" s="5">
        <v>28.71</v>
      </c>
      <c r="I100" s="5">
        <v>10.3</v>
      </c>
      <c r="J100" s="5">
        <v>27.09</v>
      </c>
      <c r="K100" s="5">
        <v>11.26</v>
      </c>
      <c r="L100" s="5">
        <v>25.22</v>
      </c>
      <c r="M100" s="5">
        <v>12.12</v>
      </c>
      <c r="N100" s="5">
        <v>0.5</v>
      </c>
      <c r="O100" s="5">
        <v>43.98</v>
      </c>
    </row>
    <row r="101" spans="1:15" ht="15.75" customHeight="1" x14ac:dyDescent="0.35">
      <c r="A101" s="2">
        <v>99</v>
      </c>
      <c r="B101" s="3" t="s">
        <v>220</v>
      </c>
      <c r="C101" s="4" t="s">
        <v>221</v>
      </c>
      <c r="D101" s="4" t="s">
        <v>93</v>
      </c>
      <c r="E101" s="5">
        <v>20.18</v>
      </c>
      <c r="F101" s="5">
        <v>20.18</v>
      </c>
      <c r="G101" s="5">
        <v>1</v>
      </c>
      <c r="H101" s="5">
        <v>24.24</v>
      </c>
      <c r="I101" s="5">
        <v>11.94</v>
      </c>
      <c r="J101" s="5">
        <v>27.03</v>
      </c>
      <c r="K101" s="5">
        <v>15.4</v>
      </c>
      <c r="L101" s="5">
        <v>22.27</v>
      </c>
      <c r="M101" s="5">
        <v>2.27</v>
      </c>
      <c r="N101" s="5">
        <v>9.5399999999999991</v>
      </c>
      <c r="O101" s="5">
        <v>59.53</v>
      </c>
    </row>
    <row r="102" spans="1:15" ht="15.75" customHeight="1" x14ac:dyDescent="0.35">
      <c r="A102" s="2">
        <v>100</v>
      </c>
      <c r="B102" s="3" t="s">
        <v>222</v>
      </c>
      <c r="C102" s="4" t="s">
        <v>223</v>
      </c>
      <c r="D102" s="4" t="s">
        <v>98</v>
      </c>
      <c r="E102" s="5">
        <v>19.71</v>
      </c>
      <c r="F102" s="5">
        <v>19.71</v>
      </c>
      <c r="G102" s="5">
        <v>1</v>
      </c>
      <c r="H102" s="5">
        <v>6.99</v>
      </c>
      <c r="I102" s="5">
        <v>35.76</v>
      </c>
      <c r="J102" s="5">
        <v>14.72</v>
      </c>
      <c r="K102" s="5">
        <v>28.64</v>
      </c>
      <c r="L102" s="5">
        <v>12.43</v>
      </c>
      <c r="M102" s="5">
        <v>9.43</v>
      </c>
      <c r="N102" s="5">
        <v>4.0999999999999996</v>
      </c>
      <c r="O102" s="5">
        <v>45.46</v>
      </c>
    </row>
    <row r="103" spans="1:15" ht="15.75" customHeight="1" x14ac:dyDescent="0.35">
      <c r="A103" s="2">
        <v>101</v>
      </c>
      <c r="B103" s="3" t="s">
        <v>224</v>
      </c>
      <c r="C103" s="4" t="s">
        <v>225</v>
      </c>
      <c r="D103" s="4" t="s">
        <v>65</v>
      </c>
      <c r="E103" s="5">
        <v>19.579999999999998</v>
      </c>
      <c r="F103" s="5">
        <v>20.399999999999999</v>
      </c>
      <c r="G103" s="5">
        <v>0.96</v>
      </c>
      <c r="H103" s="5">
        <v>19.21</v>
      </c>
      <c r="I103" s="5">
        <v>11.71</v>
      </c>
      <c r="J103" s="5">
        <v>17.38</v>
      </c>
      <c r="K103" s="5">
        <v>32.51</v>
      </c>
      <c r="L103" s="5">
        <v>21.18</v>
      </c>
      <c r="M103" s="5">
        <v>12.9</v>
      </c>
      <c r="N103" s="5">
        <v>5.85</v>
      </c>
      <c r="O103" s="5">
        <v>40.24</v>
      </c>
    </row>
    <row r="104" spans="1:15" ht="15.75" customHeight="1" x14ac:dyDescent="0.35">
      <c r="A104" s="2">
        <v>102</v>
      </c>
      <c r="B104" s="3" t="s">
        <v>226</v>
      </c>
      <c r="C104" s="4" t="s">
        <v>227</v>
      </c>
      <c r="D104" s="4" t="s">
        <v>98</v>
      </c>
      <c r="E104" s="5">
        <v>19.41</v>
      </c>
      <c r="F104" s="5">
        <v>19.41</v>
      </c>
      <c r="G104" s="5">
        <v>1</v>
      </c>
      <c r="H104" s="5">
        <v>9.1300000000000008</v>
      </c>
      <c r="I104" s="5">
        <v>19.43</v>
      </c>
      <c r="J104" s="5">
        <v>16.41</v>
      </c>
      <c r="K104" s="5">
        <v>24.96</v>
      </c>
      <c r="L104" s="5">
        <v>27.14</v>
      </c>
      <c r="M104" s="5">
        <v>8.56</v>
      </c>
      <c r="N104" s="5">
        <v>9.59</v>
      </c>
      <c r="O104" s="5">
        <v>44.39</v>
      </c>
    </row>
    <row r="105" spans="1:15" ht="15.75" customHeight="1" x14ac:dyDescent="0.35">
      <c r="A105" s="2">
        <v>103</v>
      </c>
      <c r="B105" s="3" t="s">
        <v>228</v>
      </c>
      <c r="C105" s="4" t="s">
        <v>229</v>
      </c>
      <c r="D105" s="4" t="s">
        <v>19</v>
      </c>
      <c r="E105" s="5">
        <v>18.59</v>
      </c>
      <c r="F105" s="5">
        <v>18.59</v>
      </c>
      <c r="G105" s="5">
        <v>1</v>
      </c>
      <c r="H105" s="5">
        <v>22.81</v>
      </c>
      <c r="I105" s="5">
        <v>9.15</v>
      </c>
      <c r="J105" s="5">
        <v>16.16</v>
      </c>
      <c r="K105" s="5">
        <v>25.3</v>
      </c>
      <c r="L105" s="5">
        <v>19.53</v>
      </c>
      <c r="M105" s="5">
        <v>0</v>
      </c>
      <c r="N105" s="5">
        <v>3.08</v>
      </c>
      <c r="O105" s="5">
        <v>60.94</v>
      </c>
    </row>
    <row r="106" spans="1:15" ht="15.75" customHeight="1" x14ac:dyDescent="0.35">
      <c r="A106" s="2">
        <v>104</v>
      </c>
      <c r="B106" s="3" t="s">
        <v>230</v>
      </c>
      <c r="C106" s="4" t="s">
        <v>231</v>
      </c>
      <c r="D106" s="4" t="s">
        <v>65</v>
      </c>
      <c r="E106" s="5">
        <v>18.420000000000002</v>
      </c>
      <c r="F106" s="5">
        <v>18.420000000000002</v>
      </c>
      <c r="G106" s="5">
        <v>1</v>
      </c>
      <c r="H106" s="5">
        <v>4.74</v>
      </c>
      <c r="I106" s="5">
        <v>26.74</v>
      </c>
      <c r="J106" s="5">
        <v>23.76</v>
      </c>
      <c r="K106" s="5">
        <v>23.81</v>
      </c>
      <c r="L106" s="5">
        <v>13.04</v>
      </c>
      <c r="M106" s="5">
        <v>10.56</v>
      </c>
      <c r="N106" s="5">
        <v>6.59</v>
      </c>
      <c r="O106" s="5">
        <v>38.090000000000003</v>
      </c>
    </row>
    <row r="107" spans="1:15" ht="15.75" customHeight="1" x14ac:dyDescent="0.35">
      <c r="A107" s="2">
        <v>105</v>
      </c>
      <c r="B107" s="3" t="s">
        <v>232</v>
      </c>
      <c r="C107" s="4" t="s">
        <v>233</v>
      </c>
      <c r="D107" s="4" t="s">
        <v>93</v>
      </c>
      <c r="E107" s="5">
        <v>17.79</v>
      </c>
      <c r="F107" s="5">
        <v>17.79</v>
      </c>
      <c r="G107" s="5">
        <v>1</v>
      </c>
      <c r="H107" s="5">
        <v>19.239999999999998</v>
      </c>
      <c r="I107" s="5">
        <v>28.31</v>
      </c>
      <c r="J107" s="5">
        <v>16.64</v>
      </c>
      <c r="K107" s="5">
        <v>13.19</v>
      </c>
      <c r="L107" s="5">
        <v>11.59</v>
      </c>
      <c r="M107" s="5">
        <v>4.5599999999999996</v>
      </c>
      <c r="N107" s="5">
        <v>0</v>
      </c>
      <c r="O107" s="5">
        <v>50.18</v>
      </c>
    </row>
    <row r="108" spans="1:15" ht="15.75" customHeight="1" x14ac:dyDescent="0.35">
      <c r="A108" s="2">
        <v>106</v>
      </c>
      <c r="B108" s="3" t="s">
        <v>234</v>
      </c>
      <c r="C108" s="4" t="s">
        <v>235</v>
      </c>
      <c r="D108" s="4" t="s">
        <v>93</v>
      </c>
      <c r="E108" s="5">
        <v>17.649999999999999</v>
      </c>
      <c r="F108" s="5">
        <v>17.649999999999999</v>
      </c>
      <c r="G108" s="5">
        <v>1</v>
      </c>
      <c r="H108" s="5">
        <v>25.96</v>
      </c>
      <c r="I108" s="5">
        <v>11.35</v>
      </c>
      <c r="J108" s="5">
        <v>24.89</v>
      </c>
      <c r="K108" s="5">
        <v>12.9</v>
      </c>
      <c r="L108" s="5">
        <v>13.16</v>
      </c>
      <c r="M108" s="5">
        <v>1.06</v>
      </c>
      <c r="N108" s="5">
        <v>0</v>
      </c>
      <c r="O108" s="5">
        <v>56.72</v>
      </c>
    </row>
    <row r="109" spans="1:15" ht="15.75" customHeight="1" x14ac:dyDescent="0.35">
      <c r="A109" s="2">
        <v>107</v>
      </c>
      <c r="B109" s="3" t="s">
        <v>236</v>
      </c>
      <c r="C109" s="4" t="s">
        <v>237</v>
      </c>
      <c r="D109" s="4" t="s">
        <v>98</v>
      </c>
      <c r="E109" s="5">
        <v>17.010000000000002</v>
      </c>
      <c r="F109" s="5">
        <v>17.71</v>
      </c>
      <c r="G109" s="5">
        <v>0.96</v>
      </c>
      <c r="H109" s="5">
        <v>4.3600000000000003</v>
      </c>
      <c r="I109" s="5">
        <v>28.24</v>
      </c>
      <c r="J109" s="5">
        <v>9.15</v>
      </c>
      <c r="K109" s="5">
        <v>33.229999999999997</v>
      </c>
      <c r="L109" s="5">
        <v>13.59</v>
      </c>
      <c r="M109" s="5">
        <v>5.62</v>
      </c>
      <c r="N109" s="5">
        <v>4.18</v>
      </c>
      <c r="O109" s="5">
        <v>46.41</v>
      </c>
    </row>
    <row r="110" spans="1:15" ht="15.75" customHeight="1" x14ac:dyDescent="0.35">
      <c r="A110" s="2">
        <v>108</v>
      </c>
      <c r="B110" s="3" t="s">
        <v>238</v>
      </c>
      <c r="C110" s="4" t="s">
        <v>239</v>
      </c>
      <c r="D110" s="4" t="s">
        <v>40</v>
      </c>
      <c r="E110" s="5">
        <v>16.649999999999999</v>
      </c>
      <c r="F110" s="5">
        <v>17.350000000000001</v>
      </c>
      <c r="G110" s="5">
        <v>0.96</v>
      </c>
      <c r="H110" s="5">
        <v>16.71</v>
      </c>
      <c r="I110" s="5">
        <v>14.2</v>
      </c>
      <c r="J110" s="5">
        <v>14.39</v>
      </c>
      <c r="K110" s="5">
        <v>21.59</v>
      </c>
      <c r="L110" s="5">
        <v>19.84</v>
      </c>
      <c r="M110" s="5">
        <v>2.95</v>
      </c>
      <c r="N110" s="5">
        <v>10.77</v>
      </c>
      <c r="O110" s="5">
        <v>48.32</v>
      </c>
    </row>
    <row r="111" spans="1:15" ht="15.75" customHeight="1" x14ac:dyDescent="0.35">
      <c r="A111" s="2">
        <v>109</v>
      </c>
      <c r="B111" s="3" t="s">
        <v>240</v>
      </c>
      <c r="C111" s="4" t="s">
        <v>241</v>
      </c>
      <c r="D111" s="4" t="s">
        <v>93</v>
      </c>
      <c r="E111" s="5">
        <v>16.46</v>
      </c>
      <c r="F111" s="5">
        <v>16.46</v>
      </c>
      <c r="G111" s="5">
        <v>1</v>
      </c>
      <c r="H111" s="5">
        <v>21.55</v>
      </c>
      <c r="I111" s="5">
        <v>10.15</v>
      </c>
      <c r="J111" s="5">
        <v>18.53</v>
      </c>
      <c r="K111" s="5">
        <v>11.94</v>
      </c>
      <c r="L111" s="5">
        <v>20.13</v>
      </c>
      <c r="M111" s="5">
        <v>0.61</v>
      </c>
      <c r="N111" s="5">
        <v>0</v>
      </c>
      <c r="O111" s="5">
        <v>53.66</v>
      </c>
    </row>
    <row r="112" spans="1:15" ht="15.75" customHeight="1" x14ac:dyDescent="0.35">
      <c r="A112" s="2">
        <v>110</v>
      </c>
      <c r="B112" s="3" t="s">
        <v>242</v>
      </c>
      <c r="C112" s="4" t="s">
        <v>243</v>
      </c>
      <c r="D112" s="4" t="s">
        <v>98</v>
      </c>
      <c r="E112" s="5">
        <v>16.37</v>
      </c>
      <c r="F112" s="5">
        <v>16.37</v>
      </c>
      <c r="G112" s="5">
        <v>1</v>
      </c>
      <c r="H112" s="5">
        <v>19.22</v>
      </c>
      <c r="I112" s="5">
        <v>9.61</v>
      </c>
      <c r="J112" s="5">
        <v>13.46</v>
      </c>
      <c r="K112" s="5">
        <v>23.52</v>
      </c>
      <c r="L112" s="5">
        <v>16.04</v>
      </c>
      <c r="M112" s="5">
        <v>0</v>
      </c>
      <c r="N112" s="5">
        <v>16.04</v>
      </c>
      <c r="O112" s="5">
        <v>49.22</v>
      </c>
    </row>
    <row r="113" spans="1:15" ht="15.75" customHeight="1" x14ac:dyDescent="0.35">
      <c r="A113" s="2">
        <v>111</v>
      </c>
      <c r="B113" s="3" t="s">
        <v>244</v>
      </c>
      <c r="C113" s="4" t="s">
        <v>245</v>
      </c>
      <c r="D113" s="4" t="s">
        <v>19</v>
      </c>
      <c r="E113" s="5">
        <v>15.64</v>
      </c>
      <c r="F113" s="5">
        <v>17.190000000000001</v>
      </c>
      <c r="G113" s="5">
        <v>0.91</v>
      </c>
      <c r="H113" s="5">
        <v>16.670000000000002</v>
      </c>
      <c r="I113" s="5">
        <v>11.43</v>
      </c>
      <c r="J113" s="5">
        <v>25.53</v>
      </c>
      <c r="K113" s="5">
        <v>23.06</v>
      </c>
      <c r="L113" s="5">
        <v>9.25</v>
      </c>
      <c r="M113" s="5">
        <v>2.78</v>
      </c>
      <c r="N113" s="5">
        <v>20.149999999999999</v>
      </c>
      <c r="O113" s="5">
        <v>45.01</v>
      </c>
    </row>
    <row r="114" spans="1:15" ht="15.75" customHeight="1" x14ac:dyDescent="0.35">
      <c r="A114" s="2">
        <v>112</v>
      </c>
      <c r="B114" s="3" t="s">
        <v>246</v>
      </c>
      <c r="C114" s="4" t="s">
        <v>247</v>
      </c>
      <c r="D114" s="4" t="s">
        <v>40</v>
      </c>
      <c r="E114" s="5">
        <v>15.64</v>
      </c>
      <c r="F114" s="5">
        <v>15.64</v>
      </c>
      <c r="G114" s="5">
        <v>1</v>
      </c>
      <c r="H114" s="5">
        <v>15.7</v>
      </c>
      <c r="I114" s="5">
        <v>12.03</v>
      </c>
      <c r="J114" s="5">
        <v>16.57</v>
      </c>
      <c r="K114" s="5">
        <v>15.36</v>
      </c>
      <c r="L114" s="5">
        <v>18.52</v>
      </c>
      <c r="M114" s="5">
        <v>0.61</v>
      </c>
      <c r="N114" s="5">
        <v>5.86</v>
      </c>
      <c r="O114" s="5">
        <v>48.95</v>
      </c>
    </row>
    <row r="115" spans="1:15" ht="15.75" customHeight="1" x14ac:dyDescent="0.35">
      <c r="A115" s="2">
        <v>113</v>
      </c>
      <c r="B115" s="3" t="s">
        <v>248</v>
      </c>
      <c r="C115" s="4" t="s">
        <v>249</v>
      </c>
      <c r="D115" s="4" t="s">
        <v>98</v>
      </c>
      <c r="E115" s="5">
        <v>15.18</v>
      </c>
      <c r="F115" s="5">
        <v>15.18</v>
      </c>
      <c r="G115" s="5">
        <v>1</v>
      </c>
      <c r="H115" s="5">
        <v>15.19</v>
      </c>
      <c r="I115" s="5">
        <v>16.77</v>
      </c>
      <c r="J115" s="5">
        <v>14.6</v>
      </c>
      <c r="K115" s="5">
        <v>16.489999999999998</v>
      </c>
      <c r="L115" s="5">
        <v>12.83</v>
      </c>
      <c r="M115" s="5">
        <v>1.21</v>
      </c>
      <c r="N115" s="5">
        <v>15.38</v>
      </c>
      <c r="O115" s="5">
        <v>43.04</v>
      </c>
    </row>
    <row r="116" spans="1:15" ht="15.75" customHeight="1" x14ac:dyDescent="0.35">
      <c r="A116" s="2">
        <v>114</v>
      </c>
      <c r="B116" s="3" t="s">
        <v>250</v>
      </c>
      <c r="C116" s="4" t="s">
        <v>251</v>
      </c>
      <c r="D116" s="4" t="s">
        <v>98</v>
      </c>
      <c r="E116" s="5">
        <v>14.91</v>
      </c>
      <c r="F116" s="5">
        <v>14.91</v>
      </c>
      <c r="G116" s="5">
        <v>1</v>
      </c>
      <c r="H116" s="5">
        <v>13.53</v>
      </c>
      <c r="I116" s="5">
        <v>19.22</v>
      </c>
      <c r="J116" s="5">
        <v>10.3</v>
      </c>
      <c r="K116" s="5">
        <v>14.8</v>
      </c>
      <c r="L116" s="5">
        <v>16.72</v>
      </c>
      <c r="M116" s="5">
        <v>1.21</v>
      </c>
      <c r="N116" s="5">
        <v>10.26</v>
      </c>
      <c r="O116" s="5">
        <v>43.87</v>
      </c>
    </row>
    <row r="117" spans="1:15" ht="15.75" customHeight="1" x14ac:dyDescent="0.35">
      <c r="A117" s="2">
        <v>115</v>
      </c>
      <c r="B117" s="3" t="s">
        <v>252</v>
      </c>
      <c r="C117" s="4" t="s">
        <v>253</v>
      </c>
      <c r="D117" s="4" t="s">
        <v>105</v>
      </c>
      <c r="E117" s="5">
        <v>14.49</v>
      </c>
      <c r="F117" s="5">
        <v>14.49</v>
      </c>
      <c r="G117" s="5">
        <v>1</v>
      </c>
      <c r="H117" s="5">
        <v>14.6</v>
      </c>
      <c r="I117" s="5">
        <v>15.23</v>
      </c>
      <c r="J117" s="5">
        <v>18.350000000000001</v>
      </c>
      <c r="K117" s="5">
        <v>11.14</v>
      </c>
      <c r="L117" s="5">
        <v>13.11</v>
      </c>
      <c r="M117" s="5">
        <v>0.86</v>
      </c>
      <c r="N117" s="5">
        <v>12.16</v>
      </c>
      <c r="O117" s="5">
        <v>42.51</v>
      </c>
    </row>
    <row r="118" spans="1:15" ht="15.75" customHeight="1" x14ac:dyDescent="0.35">
      <c r="A118" s="2">
        <v>116</v>
      </c>
      <c r="B118" s="3" t="s">
        <v>254</v>
      </c>
      <c r="C118" s="4" t="s">
        <v>255</v>
      </c>
      <c r="D118" s="4" t="s">
        <v>65</v>
      </c>
      <c r="E118" s="5">
        <v>14.45</v>
      </c>
      <c r="F118" s="5">
        <v>14.45</v>
      </c>
      <c r="G118" s="5">
        <v>1</v>
      </c>
      <c r="H118" s="5">
        <v>13.36</v>
      </c>
      <c r="I118" s="5">
        <v>16.79</v>
      </c>
      <c r="J118" s="5">
        <v>15.94</v>
      </c>
      <c r="K118" s="5">
        <v>19.07</v>
      </c>
      <c r="L118" s="5">
        <v>7.11</v>
      </c>
      <c r="M118" s="5">
        <v>0.61</v>
      </c>
      <c r="N118" s="5">
        <v>2.0499999999999998</v>
      </c>
      <c r="O118" s="5">
        <v>46.28</v>
      </c>
    </row>
    <row r="119" spans="1:15" ht="15.75" customHeight="1" x14ac:dyDescent="0.35">
      <c r="A119" s="2">
        <v>117</v>
      </c>
      <c r="B119" s="3" t="s">
        <v>256</v>
      </c>
      <c r="C119" s="4" t="s">
        <v>257</v>
      </c>
      <c r="D119" s="4" t="s">
        <v>98</v>
      </c>
      <c r="E119" s="5">
        <v>14.4</v>
      </c>
      <c r="F119" s="5">
        <v>14.4</v>
      </c>
      <c r="G119" s="5">
        <v>1</v>
      </c>
      <c r="H119" s="5">
        <v>9.99</v>
      </c>
      <c r="I119" s="5">
        <v>11.65</v>
      </c>
      <c r="J119" s="5">
        <v>17.78</v>
      </c>
      <c r="K119" s="5">
        <v>19.21</v>
      </c>
      <c r="L119" s="5">
        <v>13.35</v>
      </c>
      <c r="M119" s="5">
        <v>1.82</v>
      </c>
      <c r="N119" s="5">
        <v>4.62</v>
      </c>
      <c r="O119" s="5">
        <v>42.81</v>
      </c>
    </row>
    <row r="120" spans="1:15" ht="15.75" customHeight="1" x14ac:dyDescent="0.35">
      <c r="A120" s="2">
        <v>118</v>
      </c>
      <c r="B120" s="3" t="s">
        <v>258</v>
      </c>
      <c r="C120" s="4" t="s">
        <v>259</v>
      </c>
      <c r="D120" s="4" t="s">
        <v>98</v>
      </c>
      <c r="E120" s="5">
        <v>13.72</v>
      </c>
      <c r="F120" s="5">
        <v>13.72</v>
      </c>
      <c r="G120" s="5">
        <v>1</v>
      </c>
      <c r="H120" s="5">
        <v>11.75</v>
      </c>
      <c r="I120" s="5">
        <v>15.1</v>
      </c>
      <c r="J120" s="5">
        <v>10.48</v>
      </c>
      <c r="K120" s="5">
        <v>18.510000000000002</v>
      </c>
      <c r="L120" s="5">
        <v>12.76</v>
      </c>
      <c r="M120" s="5">
        <v>0.61</v>
      </c>
      <c r="N120" s="5">
        <v>0</v>
      </c>
      <c r="O120" s="5">
        <v>44.52</v>
      </c>
    </row>
    <row r="121" spans="1:15" ht="15.75" customHeight="1" x14ac:dyDescent="0.35">
      <c r="A121" s="2">
        <v>119</v>
      </c>
      <c r="B121" s="3" t="s">
        <v>260</v>
      </c>
      <c r="C121" s="4" t="s">
        <v>261</v>
      </c>
      <c r="D121" s="4" t="s">
        <v>98</v>
      </c>
      <c r="E121" s="5">
        <v>13.53</v>
      </c>
      <c r="F121" s="5">
        <v>13.53</v>
      </c>
      <c r="G121" s="5">
        <v>1</v>
      </c>
      <c r="H121" s="5">
        <v>15.18</v>
      </c>
      <c r="I121" s="5">
        <v>14.41</v>
      </c>
      <c r="J121" s="5">
        <v>12.95</v>
      </c>
      <c r="K121" s="5">
        <v>14.46</v>
      </c>
      <c r="L121" s="5">
        <v>10.66</v>
      </c>
      <c r="M121" s="5">
        <v>0.61</v>
      </c>
      <c r="N121" s="5">
        <v>2.0499999999999998</v>
      </c>
      <c r="O121" s="5">
        <v>43.21</v>
      </c>
    </row>
    <row r="122" spans="1:15" ht="15.75" customHeight="1" x14ac:dyDescent="0.35">
      <c r="A122" s="2">
        <v>120</v>
      </c>
      <c r="B122" s="3" t="s">
        <v>262</v>
      </c>
      <c r="C122" s="4" t="s">
        <v>263</v>
      </c>
      <c r="D122" s="4" t="s">
        <v>98</v>
      </c>
      <c r="E122" s="5">
        <v>13.49</v>
      </c>
      <c r="F122" s="5">
        <v>13.49</v>
      </c>
      <c r="G122" s="5">
        <v>1</v>
      </c>
      <c r="H122" s="5">
        <v>10.95</v>
      </c>
      <c r="I122" s="5">
        <v>16.16</v>
      </c>
      <c r="J122" s="5">
        <v>11.28</v>
      </c>
      <c r="K122" s="5">
        <v>19.309999999999999</v>
      </c>
      <c r="L122" s="5">
        <v>9.77</v>
      </c>
      <c r="M122" s="5">
        <v>3.18</v>
      </c>
      <c r="N122" s="5">
        <v>3.3</v>
      </c>
      <c r="O122" s="5">
        <v>37.51</v>
      </c>
    </row>
    <row r="123" spans="1:15" ht="15.75" customHeight="1" x14ac:dyDescent="0.35">
      <c r="A123" s="2">
        <v>121</v>
      </c>
      <c r="B123" s="3" t="s">
        <v>264</v>
      </c>
      <c r="C123" s="4" t="s">
        <v>265</v>
      </c>
      <c r="D123" s="4" t="s">
        <v>98</v>
      </c>
      <c r="E123" s="5">
        <v>13.11</v>
      </c>
      <c r="F123" s="5">
        <v>13.11</v>
      </c>
      <c r="G123" s="5">
        <v>1</v>
      </c>
      <c r="H123" s="5">
        <v>3.24</v>
      </c>
      <c r="I123" s="5">
        <v>7.35</v>
      </c>
      <c r="J123" s="5">
        <v>10.33</v>
      </c>
      <c r="K123" s="5">
        <v>29.48</v>
      </c>
      <c r="L123" s="5">
        <v>15.15</v>
      </c>
      <c r="M123" s="5">
        <v>2.86</v>
      </c>
      <c r="N123" s="5">
        <v>16.059999999999999</v>
      </c>
      <c r="O123" s="5">
        <v>32.619999999999997</v>
      </c>
    </row>
    <row r="124" spans="1:15" ht="15.75" customHeight="1" x14ac:dyDescent="0.35">
      <c r="A124" s="2">
        <v>122</v>
      </c>
      <c r="B124" s="3" t="s">
        <v>266</v>
      </c>
      <c r="C124" s="4" t="s">
        <v>267</v>
      </c>
      <c r="D124" s="4" t="s">
        <v>98</v>
      </c>
      <c r="E124" s="5">
        <v>13.01</v>
      </c>
      <c r="F124" s="5">
        <v>13.01</v>
      </c>
      <c r="G124" s="5">
        <v>1</v>
      </c>
      <c r="H124" s="5">
        <v>11.7</v>
      </c>
      <c r="I124" s="5">
        <v>12.99</v>
      </c>
      <c r="J124" s="5">
        <v>8.2200000000000006</v>
      </c>
      <c r="K124" s="5">
        <v>16.52</v>
      </c>
      <c r="L124" s="5">
        <v>15.62</v>
      </c>
      <c r="M124" s="5">
        <v>0</v>
      </c>
      <c r="N124" s="5">
        <v>0</v>
      </c>
      <c r="O124" s="5">
        <v>43.36</v>
      </c>
    </row>
    <row r="125" spans="1:15" ht="15.75" customHeight="1" x14ac:dyDescent="0.35">
      <c r="A125" s="2">
        <v>123</v>
      </c>
      <c r="B125" s="3" t="s">
        <v>268</v>
      </c>
      <c r="C125" s="4" t="s">
        <v>269</v>
      </c>
      <c r="D125" s="4" t="s">
        <v>98</v>
      </c>
      <c r="E125" s="5">
        <v>12.84</v>
      </c>
      <c r="F125" s="5">
        <v>12.84</v>
      </c>
      <c r="G125" s="5">
        <v>1</v>
      </c>
      <c r="H125" s="5">
        <v>10.61</v>
      </c>
      <c r="I125" s="5">
        <v>5.61</v>
      </c>
      <c r="J125" s="5">
        <v>17.059999999999999</v>
      </c>
      <c r="K125" s="5">
        <v>19.260000000000002</v>
      </c>
      <c r="L125" s="5">
        <v>11.68</v>
      </c>
      <c r="M125" s="5">
        <v>1.21</v>
      </c>
      <c r="N125" s="5">
        <v>0</v>
      </c>
      <c r="O125" s="5">
        <v>40.380000000000003</v>
      </c>
    </row>
    <row r="126" spans="1:15" ht="15.75" customHeight="1" x14ac:dyDescent="0.35">
      <c r="A126" s="2">
        <v>124</v>
      </c>
      <c r="B126" s="3" t="s">
        <v>270</v>
      </c>
      <c r="C126" s="4" t="s">
        <v>271</v>
      </c>
      <c r="D126" s="4" t="s">
        <v>98</v>
      </c>
      <c r="E126" s="5">
        <v>12.05</v>
      </c>
      <c r="F126" s="5">
        <v>12.05</v>
      </c>
      <c r="G126" s="5">
        <v>1</v>
      </c>
      <c r="H126" s="5">
        <v>6.36</v>
      </c>
      <c r="I126" s="5">
        <v>11.73</v>
      </c>
      <c r="J126" s="5">
        <v>5.34</v>
      </c>
      <c r="K126" s="5">
        <v>28.92</v>
      </c>
      <c r="L126" s="5">
        <v>7.88</v>
      </c>
      <c r="M126" s="5">
        <v>9.6</v>
      </c>
      <c r="N126" s="5">
        <v>0</v>
      </c>
      <c r="O126" s="5">
        <v>20.95</v>
      </c>
    </row>
    <row r="127" spans="1:15" ht="15.75" customHeight="1" x14ac:dyDescent="0.35">
      <c r="A127" s="2">
        <v>125</v>
      </c>
      <c r="B127" s="3" t="s">
        <v>272</v>
      </c>
      <c r="C127" s="4" t="s">
        <v>273</v>
      </c>
      <c r="D127" s="4" t="s">
        <v>98</v>
      </c>
      <c r="E127" s="5">
        <v>12.01</v>
      </c>
      <c r="F127" s="5">
        <v>12.01</v>
      </c>
      <c r="G127" s="5">
        <v>1</v>
      </c>
      <c r="H127" s="5">
        <v>13.18</v>
      </c>
      <c r="I127" s="5">
        <v>5.0199999999999996</v>
      </c>
      <c r="J127" s="5">
        <v>9.1999999999999993</v>
      </c>
      <c r="K127" s="5">
        <v>24.63</v>
      </c>
      <c r="L127" s="5">
        <v>8.02</v>
      </c>
      <c r="M127" s="5">
        <v>3.67</v>
      </c>
      <c r="N127" s="5">
        <v>2.93</v>
      </c>
      <c r="O127" s="5">
        <v>31.72</v>
      </c>
    </row>
    <row r="128" spans="1:15" ht="15.75" customHeight="1" x14ac:dyDescent="0.35">
      <c r="A128" s="2">
        <v>126</v>
      </c>
      <c r="B128" s="3" t="s">
        <v>274</v>
      </c>
      <c r="C128" s="4" t="s">
        <v>275</v>
      </c>
      <c r="D128" s="4" t="s">
        <v>65</v>
      </c>
      <c r="E128" s="5">
        <v>11.71</v>
      </c>
      <c r="F128" s="5">
        <v>12.2</v>
      </c>
      <c r="G128" s="5">
        <v>0.96</v>
      </c>
      <c r="H128" s="5">
        <v>9.15</v>
      </c>
      <c r="I128" s="5">
        <v>8.6</v>
      </c>
      <c r="J128" s="5">
        <v>17.52</v>
      </c>
      <c r="K128" s="5">
        <v>15.93</v>
      </c>
      <c r="L128" s="5">
        <v>9.7899999999999991</v>
      </c>
      <c r="M128" s="5">
        <v>1.82</v>
      </c>
      <c r="N128" s="5">
        <v>3.52</v>
      </c>
      <c r="O128" s="5">
        <v>35.85</v>
      </c>
    </row>
    <row r="129" spans="1:15" ht="15.75" customHeight="1" x14ac:dyDescent="0.35">
      <c r="A129" s="2">
        <v>127</v>
      </c>
      <c r="B129" s="3" t="s">
        <v>276</v>
      </c>
      <c r="C129" s="4" t="s">
        <v>277</v>
      </c>
      <c r="D129" s="4" t="s">
        <v>65</v>
      </c>
      <c r="E129" s="5">
        <v>11.31</v>
      </c>
      <c r="F129" s="5">
        <v>11.31</v>
      </c>
      <c r="G129" s="5">
        <v>1</v>
      </c>
      <c r="H129" s="5">
        <v>18.43</v>
      </c>
      <c r="I129" s="5">
        <v>2.86</v>
      </c>
      <c r="J129" s="5">
        <v>18.46</v>
      </c>
      <c r="K129" s="5">
        <v>9.48</v>
      </c>
      <c r="L129" s="5">
        <v>7.32</v>
      </c>
      <c r="M129" s="5">
        <v>1.21</v>
      </c>
      <c r="N129" s="5">
        <v>3.08</v>
      </c>
      <c r="O129" s="5">
        <v>34.26</v>
      </c>
    </row>
    <row r="130" spans="1:15" ht="15.75" customHeight="1" x14ac:dyDescent="0.35">
      <c r="A130" s="2">
        <v>128</v>
      </c>
      <c r="B130" s="3" t="s">
        <v>278</v>
      </c>
      <c r="C130" s="4" t="s">
        <v>279</v>
      </c>
      <c r="D130" s="4" t="s">
        <v>98</v>
      </c>
      <c r="E130" s="5">
        <v>11.21</v>
      </c>
      <c r="F130" s="5">
        <v>11.21</v>
      </c>
      <c r="G130" s="5">
        <v>1</v>
      </c>
      <c r="H130" s="5">
        <v>5.01</v>
      </c>
      <c r="I130" s="5">
        <v>17.09</v>
      </c>
      <c r="J130" s="5">
        <v>8.69</v>
      </c>
      <c r="K130" s="5">
        <v>13.09</v>
      </c>
      <c r="L130" s="5">
        <v>12.18</v>
      </c>
      <c r="M130" s="5">
        <v>0</v>
      </c>
      <c r="N130" s="5">
        <v>1.76</v>
      </c>
      <c r="O130" s="5">
        <v>36.78</v>
      </c>
    </row>
    <row r="131" spans="1:15" ht="15.75" customHeight="1" x14ac:dyDescent="0.35">
      <c r="A131" s="2">
        <v>129</v>
      </c>
      <c r="B131" s="3" t="s">
        <v>280</v>
      </c>
      <c r="C131" s="4" t="s">
        <v>281</v>
      </c>
      <c r="D131" s="4" t="s">
        <v>98</v>
      </c>
      <c r="E131" s="5">
        <v>9.44</v>
      </c>
      <c r="F131" s="5">
        <v>9.44</v>
      </c>
      <c r="G131" s="5">
        <v>1</v>
      </c>
      <c r="H131" s="5">
        <v>3.21</v>
      </c>
      <c r="I131" s="5">
        <v>18.309999999999999</v>
      </c>
      <c r="J131" s="5">
        <v>10.61</v>
      </c>
      <c r="K131" s="5">
        <v>6.71</v>
      </c>
      <c r="L131" s="5">
        <v>8.35</v>
      </c>
      <c r="M131" s="5">
        <v>0.61</v>
      </c>
      <c r="N131" s="5">
        <v>8.2100000000000009</v>
      </c>
      <c r="O131" s="5">
        <v>27.51</v>
      </c>
    </row>
    <row r="132" spans="1:15" ht="15.75" customHeight="1" x14ac:dyDescent="0.35">
      <c r="A132" s="2">
        <v>130</v>
      </c>
      <c r="B132" s="3" t="s">
        <v>282</v>
      </c>
      <c r="C132" s="4" t="s">
        <v>283</v>
      </c>
      <c r="D132" s="4" t="s">
        <v>93</v>
      </c>
      <c r="E132" s="5">
        <v>8.9600000000000009</v>
      </c>
      <c r="F132" s="5">
        <v>8.9600000000000009</v>
      </c>
      <c r="G132" s="5">
        <v>1</v>
      </c>
      <c r="H132" s="5">
        <v>10.44</v>
      </c>
      <c r="I132" s="5">
        <v>4.96</v>
      </c>
      <c r="J132" s="5">
        <v>10.43</v>
      </c>
      <c r="K132" s="5">
        <v>8.34</v>
      </c>
      <c r="L132" s="5">
        <v>10.61</v>
      </c>
      <c r="M132" s="5">
        <v>1.21</v>
      </c>
      <c r="N132" s="5">
        <v>0</v>
      </c>
      <c r="O132" s="5">
        <v>27.43</v>
      </c>
    </row>
    <row r="133" spans="1:15" ht="15.75" customHeight="1" x14ac:dyDescent="0.35">
      <c r="A133" s="2">
        <v>131</v>
      </c>
      <c r="B133" s="3" t="s">
        <v>284</v>
      </c>
      <c r="C133" s="4" t="s">
        <v>285</v>
      </c>
      <c r="D133" s="4" t="s">
        <v>98</v>
      </c>
      <c r="E133" s="5">
        <v>8.73</v>
      </c>
      <c r="F133" s="5">
        <v>8.73</v>
      </c>
      <c r="G133" s="5">
        <v>1</v>
      </c>
      <c r="H133" s="5">
        <v>3.87</v>
      </c>
      <c r="I133" s="5">
        <v>6.84</v>
      </c>
      <c r="J133" s="5">
        <v>13.84</v>
      </c>
      <c r="K133" s="5">
        <v>13.83</v>
      </c>
      <c r="L133" s="5">
        <v>5.29</v>
      </c>
      <c r="M133" s="5">
        <v>0.61</v>
      </c>
      <c r="N133" s="5">
        <v>5.64</v>
      </c>
      <c r="O133" s="5">
        <v>26.02</v>
      </c>
    </row>
    <row r="134" spans="1:15" ht="15.75" customHeight="1" x14ac:dyDescent="0.35">
      <c r="A134" s="2">
        <v>132</v>
      </c>
      <c r="B134" s="3" t="s">
        <v>286</v>
      </c>
      <c r="C134" s="4" t="s">
        <v>287</v>
      </c>
      <c r="D134" s="4" t="s">
        <v>98</v>
      </c>
      <c r="E134" s="5">
        <v>8.6999999999999993</v>
      </c>
      <c r="F134" s="5">
        <v>8.6999999999999993</v>
      </c>
      <c r="G134" s="5">
        <v>1</v>
      </c>
      <c r="H134" s="5">
        <v>1.61</v>
      </c>
      <c r="I134" s="5">
        <v>14.59</v>
      </c>
      <c r="J134" s="5">
        <v>12.27</v>
      </c>
      <c r="K134" s="5">
        <v>7.45</v>
      </c>
      <c r="L134" s="5">
        <v>7.6</v>
      </c>
      <c r="M134" s="5">
        <v>0</v>
      </c>
      <c r="N134" s="5">
        <v>4.0999999999999996</v>
      </c>
      <c r="O134" s="5">
        <v>27.64</v>
      </c>
    </row>
    <row r="135" spans="1:15" ht="15.75" customHeight="1" x14ac:dyDescent="0.35">
      <c r="A135" s="2">
        <v>133</v>
      </c>
      <c r="B135" s="3" t="s">
        <v>288</v>
      </c>
      <c r="C135" s="4" t="s">
        <v>289</v>
      </c>
      <c r="D135" s="4" t="s">
        <v>98</v>
      </c>
      <c r="E135" s="5">
        <v>6.51</v>
      </c>
      <c r="F135" s="5">
        <v>6.51</v>
      </c>
      <c r="G135" s="5">
        <v>1</v>
      </c>
      <c r="H135" s="5">
        <v>0.82</v>
      </c>
      <c r="I135" s="5">
        <v>3.56</v>
      </c>
      <c r="J135" s="5">
        <v>5.7</v>
      </c>
      <c r="K135" s="5">
        <v>17.3</v>
      </c>
      <c r="L135" s="5">
        <v>5.18</v>
      </c>
      <c r="M135" s="5">
        <v>0.61</v>
      </c>
      <c r="N135" s="5">
        <v>0</v>
      </c>
      <c r="O135" s="5">
        <v>20.49</v>
      </c>
    </row>
    <row r="136" spans="1:15" ht="15.75" customHeight="1" x14ac:dyDescent="0.35">
      <c r="A136" s="2">
        <v>134</v>
      </c>
      <c r="B136" s="3" t="s">
        <v>290</v>
      </c>
      <c r="C136" s="4" t="s">
        <v>291</v>
      </c>
      <c r="D136" s="4" t="s">
        <v>65</v>
      </c>
      <c r="E136" s="5">
        <v>6.02</v>
      </c>
      <c r="F136" s="5">
        <v>6.02</v>
      </c>
      <c r="G136" s="5">
        <v>1</v>
      </c>
      <c r="H136" s="5">
        <v>3.69</v>
      </c>
      <c r="I136" s="5">
        <v>14</v>
      </c>
      <c r="J136" s="5">
        <v>4.2300000000000004</v>
      </c>
      <c r="K136" s="5">
        <v>4.74</v>
      </c>
      <c r="L136" s="5">
        <v>3.45</v>
      </c>
      <c r="M136" s="5">
        <v>0</v>
      </c>
      <c r="N136" s="5">
        <v>0</v>
      </c>
      <c r="O136" s="5">
        <v>20.079999999999998</v>
      </c>
    </row>
    <row r="137" spans="1:15" ht="15.75" customHeight="1" x14ac:dyDescent="0.35">
      <c r="A137" s="2">
        <v>135</v>
      </c>
      <c r="B137" s="3" t="s">
        <v>292</v>
      </c>
      <c r="C137" s="4" t="s">
        <v>293</v>
      </c>
      <c r="D137" s="4" t="s">
        <v>98</v>
      </c>
      <c r="E137" s="5">
        <v>4.04</v>
      </c>
      <c r="F137" s="5">
        <v>4.04</v>
      </c>
      <c r="G137" s="5">
        <v>1</v>
      </c>
      <c r="H137" s="5">
        <v>0.19</v>
      </c>
      <c r="I137" s="5">
        <v>1.1100000000000001</v>
      </c>
      <c r="J137" s="5">
        <v>5.4</v>
      </c>
      <c r="K137" s="5">
        <v>5.07</v>
      </c>
      <c r="L137" s="5">
        <v>8.41</v>
      </c>
      <c r="M137" s="5">
        <v>0</v>
      </c>
      <c r="N137" s="5">
        <v>2.0499999999999998</v>
      </c>
      <c r="O137" s="5">
        <v>12.77</v>
      </c>
    </row>
    <row r="138" spans="1:15" ht="15.75" customHeight="1" x14ac:dyDescent="0.35">
      <c r="A138" s="2"/>
      <c r="B138" s="3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</row>
    <row r="139" spans="1:15" ht="15.75" customHeight="1" x14ac:dyDescent="0.35">
      <c r="A139" s="2"/>
      <c r="B139" s="3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</row>
    <row r="140" spans="1:15" ht="15.75" customHeight="1" x14ac:dyDescent="0.35">
      <c r="A140" s="2"/>
      <c r="B140" s="3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</row>
    <row r="141" spans="1:15" ht="15.75" customHeight="1" x14ac:dyDescent="0.35">
      <c r="A141" s="2"/>
      <c r="B141" s="3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</row>
    <row r="142" spans="1:15" ht="15.75" customHeight="1" x14ac:dyDescent="0.35">
      <c r="A142" s="2"/>
      <c r="B142" s="3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</row>
    <row r="143" spans="1:15" ht="15.75" customHeight="1" x14ac:dyDescent="0.35">
      <c r="A143" s="2"/>
      <c r="B143" s="3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</row>
    <row r="144" spans="1:15" ht="15.75" customHeight="1" x14ac:dyDescent="0.35">
      <c r="A144" s="2"/>
      <c r="B144" s="3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</row>
    <row r="145" spans="1:15" ht="15.75" customHeight="1" x14ac:dyDescent="0.35">
      <c r="A145" s="2"/>
      <c r="B145" s="3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</row>
    <row r="146" spans="1:15" ht="15.75" customHeight="1" x14ac:dyDescent="0.35">
      <c r="A146" s="2"/>
      <c r="B146" s="3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</row>
    <row r="147" spans="1:15" ht="15.75" customHeight="1" x14ac:dyDescent="0.35">
      <c r="A147" s="2"/>
      <c r="B147" s="3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</row>
    <row r="148" spans="1:15" ht="15.75" customHeight="1" x14ac:dyDescent="0.35">
      <c r="A148" s="2"/>
      <c r="B148" s="3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</row>
    <row r="149" spans="1:15" ht="15.75" customHeight="1" x14ac:dyDescent="0.35">
      <c r="A149" s="2"/>
      <c r="B149" s="3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 spans="1:15" ht="15.75" customHeight="1" x14ac:dyDescent="0.35">
      <c r="A150" s="2"/>
      <c r="B150" s="3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 spans="1:15" ht="15.75" customHeight="1" x14ac:dyDescent="0.35">
      <c r="A151" s="2"/>
      <c r="B151" s="3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</row>
    <row r="152" spans="1:15" ht="15.75" customHeight="1" x14ac:dyDescent="0.35">
      <c r="A152" s="2"/>
      <c r="B152" s="3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</row>
    <row r="153" spans="1:15" ht="15.75" customHeight="1" x14ac:dyDescent="0.35">
      <c r="A153" s="2"/>
      <c r="B153" s="3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</row>
    <row r="154" spans="1:15" ht="15.75" customHeight="1" x14ac:dyDescent="0.35">
      <c r="A154" s="2"/>
      <c r="B154" s="3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</row>
    <row r="155" spans="1:15" ht="15.75" customHeight="1" x14ac:dyDescent="0.35">
      <c r="A155" s="2"/>
      <c r="B155" s="3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</row>
    <row r="156" spans="1:15" ht="15.75" customHeight="1" x14ac:dyDescent="0.35">
      <c r="A156" s="2"/>
      <c r="B156" s="3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</row>
    <row r="157" spans="1:15" ht="15.75" customHeight="1" x14ac:dyDescent="0.35">
      <c r="A157" s="2"/>
      <c r="B157" s="3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</row>
    <row r="158" spans="1:15" ht="15.75" customHeight="1" x14ac:dyDescent="0.35">
      <c r="A158" s="2"/>
      <c r="B158" s="3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</row>
    <row r="159" spans="1:15" ht="15.75" customHeight="1" x14ac:dyDescent="0.35">
      <c r="A159" s="2"/>
      <c r="B159" s="3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</row>
    <row r="160" spans="1:15" ht="15.75" customHeight="1" x14ac:dyDescent="0.35">
      <c r="A160" s="2"/>
      <c r="B160" s="3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</row>
    <row r="161" spans="1:15" ht="15.75" customHeight="1" x14ac:dyDescent="0.35">
      <c r="A161" s="2"/>
      <c r="B161" s="3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</row>
    <row r="162" spans="1:15" ht="15.75" customHeight="1" x14ac:dyDescent="0.35">
      <c r="A162" s="2"/>
      <c r="B162" s="3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</row>
    <row r="163" spans="1:15" ht="15.75" customHeight="1" x14ac:dyDescent="0.35">
      <c r="A163" s="2"/>
      <c r="B163" s="3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</row>
    <row r="164" spans="1:15" ht="15.75" customHeight="1" x14ac:dyDescent="0.35">
      <c r="A164" s="2"/>
      <c r="B164" s="3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</row>
    <row r="165" spans="1:15" ht="15.75" customHeight="1" x14ac:dyDescent="0.35">
      <c r="A165" s="2"/>
      <c r="B165" s="3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</row>
    <row r="166" spans="1:15" ht="15.75" customHeight="1" x14ac:dyDescent="0.35">
      <c r="A166" s="2"/>
      <c r="B166" s="3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</row>
    <row r="167" spans="1:15" ht="15.75" customHeight="1" x14ac:dyDescent="0.35">
      <c r="A167" s="2"/>
      <c r="B167" s="3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</row>
    <row r="168" spans="1:15" ht="15.75" customHeight="1" x14ac:dyDescent="0.35">
      <c r="A168" s="2"/>
      <c r="B168" s="3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</row>
    <row r="169" spans="1:15" ht="15.75" customHeight="1" x14ac:dyDescent="0.35">
      <c r="A169" s="2"/>
      <c r="B169" s="3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</row>
    <row r="170" spans="1:15" ht="15.75" customHeight="1" x14ac:dyDescent="0.35">
      <c r="A170" s="2"/>
      <c r="B170" s="3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</row>
    <row r="171" spans="1:15" ht="15.75" customHeight="1" x14ac:dyDescent="0.35">
      <c r="A171" s="2"/>
      <c r="B171" s="3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</row>
    <row r="172" spans="1:15" ht="15.75" customHeight="1" x14ac:dyDescent="0.35">
      <c r="A172" s="2"/>
      <c r="B172" s="3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</row>
    <row r="173" spans="1:15" ht="15.75" customHeight="1" x14ac:dyDescent="0.35">
      <c r="A173" s="2"/>
      <c r="B173" s="3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</row>
    <row r="174" spans="1:15" ht="15.75" customHeight="1" x14ac:dyDescent="0.35">
      <c r="A174" s="2"/>
      <c r="B174" s="3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</row>
    <row r="175" spans="1:15" ht="15.75" customHeight="1" x14ac:dyDescent="0.35">
      <c r="A175" s="2"/>
      <c r="B175" s="3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</row>
    <row r="176" spans="1:15" ht="15.75" customHeight="1" x14ac:dyDescent="0.35">
      <c r="A176" s="2"/>
      <c r="B176" s="3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</row>
    <row r="177" spans="1:15" ht="15.75" customHeight="1" x14ac:dyDescent="0.35">
      <c r="A177" s="2"/>
      <c r="B177" s="3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</row>
    <row r="178" spans="1:15" ht="15.75" customHeight="1" x14ac:dyDescent="0.35">
      <c r="A178" s="2"/>
      <c r="B178" s="3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</row>
    <row r="179" spans="1:15" ht="15.75" customHeight="1" x14ac:dyDescent="0.35">
      <c r="A179" s="2"/>
      <c r="B179" s="3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</row>
    <row r="180" spans="1:15" ht="15.75" customHeight="1" x14ac:dyDescent="0.35">
      <c r="A180" s="2"/>
      <c r="B180" s="3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</row>
    <row r="181" spans="1:15" ht="15.75" customHeight="1" x14ac:dyDescent="0.35">
      <c r="A181" s="2"/>
      <c r="B181" s="3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</row>
    <row r="182" spans="1:15" ht="15.75" customHeight="1" x14ac:dyDescent="0.35">
      <c r="A182" s="2"/>
      <c r="B182" s="3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</row>
    <row r="183" spans="1:15" ht="15.75" customHeight="1" x14ac:dyDescent="0.35">
      <c r="A183" s="2"/>
      <c r="B183" s="3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</row>
    <row r="184" spans="1:15" ht="15.75" customHeight="1" x14ac:dyDescent="0.35">
      <c r="A184" s="2"/>
      <c r="B184" s="3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</row>
    <row r="185" spans="1:15" ht="15.75" customHeight="1" x14ac:dyDescent="0.35">
      <c r="A185" s="2"/>
      <c r="B185" s="3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</row>
    <row r="186" spans="1:15" ht="15.75" customHeight="1" x14ac:dyDescent="0.35">
      <c r="A186" s="2"/>
      <c r="B186" s="3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</row>
    <row r="187" spans="1:15" ht="15.75" customHeight="1" x14ac:dyDescent="0.35">
      <c r="A187" s="2"/>
      <c r="B187" s="3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</row>
    <row r="188" spans="1:15" ht="15.75" customHeight="1" x14ac:dyDescent="0.35">
      <c r="A188" s="2"/>
      <c r="B188" s="3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</row>
    <row r="189" spans="1:15" ht="15.75" customHeight="1" x14ac:dyDescent="0.35">
      <c r="A189" s="2"/>
      <c r="B189" s="3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</row>
    <row r="190" spans="1:15" ht="15.75" customHeight="1" x14ac:dyDescent="0.35">
      <c r="A190" s="2"/>
      <c r="B190" s="3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</row>
    <row r="191" spans="1:15" ht="15.75" customHeight="1" x14ac:dyDescent="0.35">
      <c r="A191" s="2"/>
      <c r="B191" s="3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</row>
    <row r="192" spans="1:15" ht="15.75" customHeight="1" x14ac:dyDescent="0.35">
      <c r="A192" s="2"/>
      <c r="B192" s="3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</row>
    <row r="193" spans="1:15" ht="15.75" customHeight="1" x14ac:dyDescent="0.35">
      <c r="A193" s="2"/>
      <c r="B193" s="3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</row>
    <row r="194" spans="1:15" ht="15.75" customHeight="1" x14ac:dyDescent="0.35">
      <c r="A194" s="2"/>
      <c r="B194" s="3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</row>
    <row r="195" spans="1:15" ht="15.75" customHeight="1" x14ac:dyDescent="0.35">
      <c r="A195" s="2"/>
      <c r="B195" s="3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</row>
    <row r="196" spans="1:15" ht="15.75" customHeight="1" x14ac:dyDescent="0.35">
      <c r="A196" s="2"/>
      <c r="B196" s="3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</row>
    <row r="197" spans="1:15" ht="15.75" customHeight="1" x14ac:dyDescent="0.35">
      <c r="A197" s="2"/>
      <c r="B197" s="3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</row>
    <row r="198" spans="1:15" ht="15.75" customHeight="1" x14ac:dyDescent="0.35">
      <c r="A198" s="2"/>
      <c r="B198" s="3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</row>
    <row r="199" spans="1:15" ht="15.75" customHeight="1" x14ac:dyDescent="0.35">
      <c r="A199" s="2"/>
      <c r="B199" s="3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</row>
    <row r="200" spans="1:15" ht="15.75" customHeight="1" x14ac:dyDescent="0.35">
      <c r="A200" s="2"/>
      <c r="B200" s="3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</row>
    <row r="201" spans="1:15" ht="15.75" customHeight="1" x14ac:dyDescent="0.35">
      <c r="A201" s="2"/>
      <c r="B201" s="3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</row>
    <row r="202" spans="1:15" ht="15.75" customHeight="1" x14ac:dyDescent="0.35">
      <c r="A202" s="2"/>
      <c r="B202" s="3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</row>
    <row r="203" spans="1:15" ht="15.75" customHeight="1" x14ac:dyDescent="0.35">
      <c r="A203" s="2"/>
      <c r="B203" s="3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</row>
    <row r="204" spans="1:15" ht="15.75" customHeight="1" x14ac:dyDescent="0.35">
      <c r="A204" s="2"/>
      <c r="B204" s="3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</row>
    <row r="205" spans="1:15" ht="15.75" customHeight="1" x14ac:dyDescent="0.35">
      <c r="A205" s="2"/>
      <c r="B205" s="3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</row>
    <row r="206" spans="1:15" ht="15.75" customHeight="1" x14ac:dyDescent="0.35">
      <c r="A206" s="2"/>
      <c r="B206" s="3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</row>
    <row r="207" spans="1:15" ht="15.75" customHeight="1" x14ac:dyDescent="0.35">
      <c r="A207" s="2"/>
      <c r="B207" s="3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</row>
    <row r="208" spans="1:15" ht="15.75" customHeight="1" x14ac:dyDescent="0.35">
      <c r="A208" s="2"/>
      <c r="B208" s="3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</row>
    <row r="209" spans="1:15" ht="15.75" customHeight="1" x14ac:dyDescent="0.35">
      <c r="A209" s="2"/>
      <c r="B209" s="3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</row>
    <row r="210" spans="1:15" ht="15.75" customHeight="1" x14ac:dyDescent="0.35">
      <c r="A210" s="2"/>
      <c r="B210" s="3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</row>
    <row r="211" spans="1:15" ht="15.75" customHeight="1" x14ac:dyDescent="0.35">
      <c r="A211" s="2"/>
      <c r="B211" s="3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</row>
    <row r="212" spans="1:15" ht="15.75" customHeight="1" x14ac:dyDescent="0.35">
      <c r="A212" s="2"/>
      <c r="B212" s="3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</row>
    <row r="213" spans="1:15" ht="15.75" customHeight="1" x14ac:dyDescent="0.35">
      <c r="A213" s="2"/>
      <c r="B213" s="3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</row>
    <row r="214" spans="1:15" ht="15.75" customHeight="1" x14ac:dyDescent="0.35">
      <c r="A214" s="2"/>
      <c r="B214" s="3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</row>
    <row r="215" spans="1:15" ht="15.75" customHeight="1" x14ac:dyDescent="0.35">
      <c r="A215" s="2"/>
      <c r="B215" s="3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</row>
    <row r="216" spans="1:15" ht="15.75" customHeight="1" x14ac:dyDescent="0.35">
      <c r="A216" s="2"/>
      <c r="B216" s="3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</row>
    <row r="217" spans="1:15" ht="15.75" customHeight="1" x14ac:dyDescent="0.35">
      <c r="A217" s="2"/>
      <c r="B217" s="3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</row>
    <row r="218" spans="1:15" ht="15.75" customHeight="1" x14ac:dyDescent="0.35">
      <c r="A218" s="2"/>
      <c r="B218" s="3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</row>
    <row r="219" spans="1:15" ht="15.75" customHeight="1" x14ac:dyDescent="0.35">
      <c r="A219" s="2"/>
      <c r="B219" s="3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</row>
    <row r="220" spans="1:15" ht="15.75" customHeight="1" x14ac:dyDescent="0.35">
      <c r="A220" s="2"/>
      <c r="B220" s="3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</row>
    <row r="221" spans="1:15" ht="15.75" customHeight="1" x14ac:dyDescent="0.35">
      <c r="A221" s="2"/>
      <c r="B221" s="3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</row>
    <row r="222" spans="1:15" ht="15.75" customHeight="1" x14ac:dyDescent="0.35">
      <c r="A222" s="2"/>
      <c r="B222" s="3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</row>
    <row r="223" spans="1:15" ht="15.75" customHeight="1" x14ac:dyDescent="0.35">
      <c r="A223" s="2"/>
      <c r="B223" s="3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</row>
    <row r="224" spans="1:15" ht="15.75" customHeight="1" x14ac:dyDescent="0.35">
      <c r="A224" s="2"/>
      <c r="B224" s="3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</row>
    <row r="225" spans="1:15" ht="15.75" customHeight="1" x14ac:dyDescent="0.35">
      <c r="A225" s="2"/>
      <c r="B225" s="3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</row>
    <row r="226" spans="1:15" ht="15.75" customHeight="1" x14ac:dyDescent="0.35">
      <c r="A226" s="2"/>
      <c r="B226" s="3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</row>
    <row r="227" spans="1:15" ht="15.75" customHeight="1" x14ac:dyDescent="0.35">
      <c r="A227" s="2"/>
      <c r="B227" s="3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</row>
    <row r="228" spans="1:15" ht="15.75" customHeight="1" x14ac:dyDescent="0.35">
      <c r="A228" s="2"/>
      <c r="B228" s="3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</row>
    <row r="229" spans="1:15" ht="15.75" customHeight="1" x14ac:dyDescent="0.35">
      <c r="A229" s="2"/>
      <c r="B229" s="3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</row>
    <row r="230" spans="1:15" ht="15.75" customHeight="1" x14ac:dyDescent="0.35">
      <c r="A230" s="2"/>
      <c r="B230" s="3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</row>
    <row r="231" spans="1:15" ht="15.75" customHeight="1" x14ac:dyDescent="0.35">
      <c r="A231" s="2"/>
      <c r="B231" s="3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</row>
    <row r="232" spans="1:15" ht="15.75" customHeight="1" x14ac:dyDescent="0.35">
      <c r="A232" s="2"/>
      <c r="B232" s="3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</row>
    <row r="233" spans="1:15" ht="15.75" customHeight="1" x14ac:dyDescent="0.35">
      <c r="A233" s="2"/>
      <c r="B233" s="3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</row>
    <row r="234" spans="1:15" ht="15.75" customHeight="1" x14ac:dyDescent="0.35">
      <c r="A234" s="2"/>
      <c r="B234" s="3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</row>
    <row r="235" spans="1:15" ht="15.75" customHeight="1" x14ac:dyDescent="0.35">
      <c r="A235" s="2"/>
      <c r="B235" s="3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</row>
    <row r="236" spans="1:15" ht="15.75" customHeight="1" x14ac:dyDescent="0.35">
      <c r="A236" s="2"/>
      <c r="B236" s="3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</row>
    <row r="237" spans="1:15" ht="15.75" customHeight="1" x14ac:dyDescent="0.35">
      <c r="A237" s="2"/>
      <c r="B237" s="3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</row>
    <row r="238" spans="1:15" ht="15.75" customHeight="1" x14ac:dyDescent="0.35">
      <c r="A238" s="2"/>
      <c r="B238" s="3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</row>
    <row r="239" spans="1:15" ht="15.75" customHeight="1" x14ac:dyDescent="0.35">
      <c r="A239" s="2"/>
      <c r="B239" s="3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</row>
    <row r="240" spans="1:15" ht="15.75" customHeight="1" x14ac:dyDescent="0.35">
      <c r="A240" s="2"/>
      <c r="B240" s="3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</row>
    <row r="241" spans="1:15" ht="15.75" customHeight="1" x14ac:dyDescent="0.35">
      <c r="A241" s="2"/>
      <c r="B241" s="3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</row>
    <row r="242" spans="1:15" ht="15.75" customHeight="1" x14ac:dyDescent="0.35">
      <c r="A242" s="2"/>
      <c r="B242" s="3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</row>
    <row r="243" spans="1:15" ht="15.75" customHeight="1" x14ac:dyDescent="0.35">
      <c r="A243" s="2"/>
      <c r="B243" s="3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</row>
    <row r="244" spans="1:15" ht="15.75" customHeight="1" x14ac:dyDescent="0.35">
      <c r="A244" s="2"/>
      <c r="B244" s="3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</row>
    <row r="245" spans="1:15" ht="15.75" customHeight="1" x14ac:dyDescent="0.35">
      <c r="A245" s="2"/>
      <c r="B245" s="3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</row>
    <row r="246" spans="1:15" ht="15.75" customHeight="1" x14ac:dyDescent="0.35">
      <c r="A246" s="2"/>
      <c r="B246" s="3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</row>
    <row r="247" spans="1:15" ht="15.75" customHeight="1" x14ac:dyDescent="0.35">
      <c r="A247" s="2"/>
      <c r="B247" s="3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</row>
    <row r="248" spans="1:15" ht="15.75" customHeight="1" x14ac:dyDescent="0.35">
      <c r="A248" s="2"/>
      <c r="B248" s="3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</row>
    <row r="249" spans="1:15" ht="15.75" customHeight="1" x14ac:dyDescent="0.35">
      <c r="A249" s="2"/>
      <c r="B249" s="3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</row>
    <row r="250" spans="1:15" ht="15.75" customHeight="1" x14ac:dyDescent="0.35">
      <c r="A250" s="2"/>
      <c r="B250" s="3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</row>
    <row r="251" spans="1:15" ht="15.75" customHeight="1" x14ac:dyDescent="0.35">
      <c r="A251" s="2"/>
      <c r="B251" s="3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</row>
    <row r="252" spans="1:15" ht="15.75" customHeight="1" x14ac:dyDescent="0.35">
      <c r="A252" s="2"/>
      <c r="B252" s="3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</row>
    <row r="253" spans="1:15" ht="15.75" customHeight="1" x14ac:dyDescent="0.35">
      <c r="A253" s="2"/>
      <c r="B253" s="3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</row>
    <row r="254" spans="1:15" ht="15.75" customHeight="1" x14ac:dyDescent="0.35">
      <c r="A254" s="2"/>
      <c r="B254" s="3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</row>
    <row r="255" spans="1:15" ht="15.75" customHeight="1" x14ac:dyDescent="0.35">
      <c r="A255" s="2"/>
      <c r="B255" s="3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</row>
    <row r="256" spans="1:15" ht="15.75" customHeight="1" x14ac:dyDescent="0.35">
      <c r="A256" s="2"/>
      <c r="B256" s="3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</row>
    <row r="257" spans="1:15" ht="15.75" customHeight="1" x14ac:dyDescent="0.35">
      <c r="A257" s="2"/>
      <c r="B257" s="3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</row>
    <row r="258" spans="1:15" ht="15.75" customHeight="1" x14ac:dyDescent="0.35">
      <c r="A258" s="2"/>
      <c r="B258" s="3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</row>
    <row r="259" spans="1:15" ht="15.75" customHeight="1" x14ac:dyDescent="0.35">
      <c r="A259" s="2"/>
      <c r="B259" s="3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</row>
    <row r="260" spans="1:15" ht="15.75" customHeight="1" x14ac:dyDescent="0.35">
      <c r="A260" s="2"/>
      <c r="B260" s="3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</row>
    <row r="261" spans="1:15" ht="15.75" customHeight="1" x14ac:dyDescent="0.35">
      <c r="A261" s="2"/>
      <c r="B261" s="3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</row>
    <row r="262" spans="1:15" ht="15.75" customHeight="1" x14ac:dyDescent="0.35">
      <c r="A262" s="2"/>
      <c r="B262" s="3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</row>
    <row r="263" spans="1:15" ht="15.75" customHeight="1" x14ac:dyDescent="0.35">
      <c r="A263" s="2"/>
      <c r="B263" s="3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</row>
    <row r="264" spans="1:15" ht="15.75" customHeight="1" x14ac:dyDescent="0.35">
      <c r="A264" s="2"/>
      <c r="B264" s="3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</row>
    <row r="265" spans="1:15" ht="15.75" customHeight="1" x14ac:dyDescent="0.35">
      <c r="A265" s="2"/>
      <c r="B265" s="3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</row>
    <row r="266" spans="1:15" ht="15.75" customHeight="1" x14ac:dyDescent="0.35">
      <c r="A266" s="2"/>
      <c r="B266" s="3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</row>
    <row r="267" spans="1:15" ht="15.75" customHeight="1" x14ac:dyDescent="0.35">
      <c r="A267" s="2"/>
      <c r="B267" s="3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</row>
    <row r="268" spans="1:15" ht="15.75" customHeight="1" x14ac:dyDescent="0.35">
      <c r="A268" s="2"/>
      <c r="B268" s="3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</row>
    <row r="269" spans="1:15" ht="15.75" customHeight="1" x14ac:dyDescent="0.35">
      <c r="A269" s="2"/>
      <c r="B269" s="3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</row>
    <row r="270" spans="1:15" ht="15.75" customHeight="1" x14ac:dyDescent="0.35">
      <c r="A270" s="2"/>
      <c r="B270" s="3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</row>
    <row r="271" spans="1:15" ht="15.75" customHeight="1" x14ac:dyDescent="0.35">
      <c r="A271" s="2"/>
      <c r="B271" s="3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</row>
    <row r="272" spans="1:15" ht="15.75" customHeight="1" x14ac:dyDescent="0.35">
      <c r="A272" s="2"/>
      <c r="B272" s="3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</row>
    <row r="273" spans="1:15" ht="15.75" customHeight="1" x14ac:dyDescent="0.35">
      <c r="A273" s="2"/>
      <c r="B273" s="3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</row>
    <row r="274" spans="1:15" ht="15.75" customHeight="1" x14ac:dyDescent="0.35">
      <c r="A274" s="2"/>
      <c r="B274" s="3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</row>
    <row r="275" spans="1:15" ht="15.75" customHeight="1" x14ac:dyDescent="0.35">
      <c r="A275" s="2"/>
      <c r="B275" s="3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</row>
    <row r="276" spans="1:15" ht="15.75" customHeight="1" x14ac:dyDescent="0.35">
      <c r="A276" s="2"/>
      <c r="B276" s="3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</row>
    <row r="277" spans="1:15" ht="15.75" customHeight="1" x14ac:dyDescent="0.35">
      <c r="A277" s="2"/>
      <c r="B277" s="3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</row>
    <row r="278" spans="1:15" ht="15.75" customHeight="1" x14ac:dyDescent="0.35">
      <c r="A278" s="2"/>
      <c r="B278" s="3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</row>
    <row r="279" spans="1:15" ht="15.75" customHeight="1" x14ac:dyDescent="0.35">
      <c r="A279" s="2"/>
      <c r="B279" s="3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</row>
    <row r="280" spans="1:15" ht="15.75" customHeight="1" x14ac:dyDescent="0.35">
      <c r="A280" s="2"/>
      <c r="B280" s="3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</row>
    <row r="281" spans="1:15" ht="15.75" customHeight="1" x14ac:dyDescent="0.35">
      <c r="A281" s="2"/>
      <c r="B281" s="3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</row>
    <row r="282" spans="1:15" ht="15.75" customHeight="1" x14ac:dyDescent="0.35">
      <c r="A282" s="2"/>
      <c r="B282" s="3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</row>
    <row r="283" spans="1:15" ht="15.75" customHeight="1" x14ac:dyDescent="0.35">
      <c r="A283" s="2"/>
      <c r="B283" s="3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</row>
    <row r="284" spans="1:15" ht="15.75" customHeight="1" x14ac:dyDescent="0.35">
      <c r="A284" s="2"/>
      <c r="B284" s="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</row>
    <row r="285" spans="1:15" ht="15.75" customHeight="1" x14ac:dyDescent="0.35">
      <c r="A285" s="2"/>
      <c r="B285" s="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</row>
    <row r="286" spans="1:15" ht="15.75" customHeight="1" x14ac:dyDescent="0.35">
      <c r="A286" s="2"/>
      <c r="B286" s="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</row>
    <row r="287" spans="1:15" ht="15.75" customHeight="1" x14ac:dyDescent="0.35">
      <c r="A287" s="2"/>
      <c r="B287" s="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</row>
    <row r="288" spans="1:15" ht="15.75" customHeight="1" x14ac:dyDescent="0.35">
      <c r="A288" s="2"/>
      <c r="B288" s="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</row>
    <row r="289" spans="1:15" ht="15.75" customHeight="1" x14ac:dyDescent="0.35">
      <c r="A289" s="2"/>
      <c r="B289" s="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</row>
    <row r="290" spans="1:15" ht="15.75" customHeight="1" x14ac:dyDescent="0.35">
      <c r="A290" s="2"/>
      <c r="B290" s="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</row>
    <row r="291" spans="1:15" ht="15.75" customHeight="1" x14ac:dyDescent="0.35">
      <c r="A291" s="2"/>
      <c r="B291" s="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</row>
    <row r="292" spans="1:15" ht="15.75" customHeight="1" x14ac:dyDescent="0.35">
      <c r="A292" s="2"/>
      <c r="B292" s="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</row>
    <row r="293" spans="1:15" ht="15.75" customHeight="1" x14ac:dyDescent="0.35">
      <c r="A293" s="2"/>
      <c r="B293" s="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</row>
    <row r="294" spans="1:15" ht="15.75" customHeight="1" x14ac:dyDescent="0.35">
      <c r="A294" s="2"/>
      <c r="B294" s="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</row>
    <row r="295" spans="1:15" ht="15.75" customHeight="1" x14ac:dyDescent="0.35">
      <c r="A295" s="2"/>
      <c r="B295" s="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</row>
    <row r="296" spans="1:15" ht="15.75" customHeight="1" x14ac:dyDescent="0.35">
      <c r="A296" s="2"/>
      <c r="B296" s="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</row>
    <row r="297" spans="1:15" ht="15.75" customHeight="1" x14ac:dyDescent="0.35">
      <c r="A297" s="2"/>
      <c r="B297" s="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</row>
    <row r="298" spans="1:15" ht="15.75" customHeight="1" x14ac:dyDescent="0.35">
      <c r="A298" s="2"/>
      <c r="B298" s="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</row>
    <row r="299" spans="1:15" ht="15.75" customHeight="1" x14ac:dyDescent="0.35">
      <c r="A299" s="2"/>
      <c r="B299" s="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</row>
    <row r="300" spans="1:15" ht="15.75" customHeight="1" x14ac:dyDescent="0.35">
      <c r="A300" s="2"/>
      <c r="B300" s="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</row>
    <row r="301" spans="1:15" ht="15.75" customHeight="1" x14ac:dyDescent="0.35">
      <c r="A301" s="2"/>
      <c r="B301" s="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</row>
    <row r="302" spans="1:15" ht="15.75" customHeight="1" x14ac:dyDescent="0.35">
      <c r="A302" s="2"/>
      <c r="B302" s="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</row>
    <row r="303" spans="1:15" ht="15.75" customHeight="1" x14ac:dyDescent="0.35">
      <c r="A303" s="2"/>
      <c r="B303" s="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 spans="1:15" ht="15.75" customHeight="1" x14ac:dyDescent="0.35">
      <c r="A304" s="2"/>
      <c r="B304" s="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</row>
    <row r="305" spans="1:15" ht="15.75" customHeight="1" x14ac:dyDescent="0.35">
      <c r="A305" s="2"/>
      <c r="B305" s="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 spans="1:15" ht="15.75" customHeight="1" x14ac:dyDescent="0.35">
      <c r="A306" s="2"/>
      <c r="B306" s="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</row>
    <row r="307" spans="1:15" ht="15.75" customHeight="1" x14ac:dyDescent="0.35">
      <c r="A307" s="2"/>
      <c r="B307" s="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 spans="1:15" ht="15.75" customHeight="1" x14ac:dyDescent="0.35">
      <c r="A308" s="2"/>
      <c r="B308" s="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</row>
    <row r="309" spans="1:15" ht="15.75" customHeight="1" x14ac:dyDescent="0.35">
      <c r="A309" s="2"/>
      <c r="B309" s="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 spans="1:15" ht="15.75" customHeight="1" x14ac:dyDescent="0.35">
      <c r="A310" s="2"/>
      <c r="B310" s="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</row>
    <row r="311" spans="1:15" ht="15.75" customHeight="1" x14ac:dyDescent="0.35">
      <c r="A311" s="2"/>
      <c r="B311" s="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 spans="1:15" ht="15.75" customHeight="1" x14ac:dyDescent="0.35">
      <c r="A312" s="2"/>
      <c r="B312" s="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</row>
    <row r="313" spans="1:15" ht="15.75" customHeight="1" x14ac:dyDescent="0.35">
      <c r="A313" s="2"/>
      <c r="B313" s="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 spans="1:15" ht="15.75" customHeight="1" x14ac:dyDescent="0.35">
      <c r="A314" s="2"/>
      <c r="B314" s="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</row>
    <row r="315" spans="1:15" ht="15.75" customHeight="1" x14ac:dyDescent="0.35">
      <c r="A315" s="2"/>
      <c r="B315" s="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 spans="1:15" ht="15.75" customHeight="1" x14ac:dyDescent="0.35">
      <c r="A316" s="2"/>
      <c r="B316" s="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</row>
    <row r="317" spans="1:15" ht="15.75" customHeight="1" x14ac:dyDescent="0.35">
      <c r="A317" s="2"/>
      <c r="B317" s="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 spans="1:15" ht="15.75" customHeight="1" x14ac:dyDescent="0.35">
      <c r="A318" s="2"/>
      <c r="B318" s="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</row>
    <row r="319" spans="1:15" ht="15.75" customHeight="1" x14ac:dyDescent="0.35">
      <c r="A319" s="2"/>
      <c r="B319" s="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 spans="1:15" ht="15.75" customHeight="1" x14ac:dyDescent="0.35">
      <c r="A320" s="2"/>
      <c r="B320" s="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</row>
    <row r="321" spans="1:15" ht="15.75" customHeight="1" x14ac:dyDescent="0.35">
      <c r="A321" s="2"/>
      <c r="B321" s="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 spans="1:15" ht="15.75" customHeight="1" x14ac:dyDescent="0.35">
      <c r="A322" s="2"/>
      <c r="B322" s="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</row>
    <row r="323" spans="1:15" ht="15.75" customHeight="1" x14ac:dyDescent="0.35">
      <c r="A323" s="2"/>
      <c r="B323" s="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 spans="1:15" ht="15.75" customHeight="1" x14ac:dyDescent="0.35">
      <c r="A324" s="2"/>
      <c r="B324" s="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</row>
    <row r="325" spans="1:15" ht="15.75" customHeight="1" x14ac:dyDescent="0.35">
      <c r="A325" s="2"/>
      <c r="B325" s="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 spans="1:15" ht="15.75" customHeight="1" x14ac:dyDescent="0.35">
      <c r="A326" s="2"/>
      <c r="B326" s="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</row>
    <row r="327" spans="1:15" ht="15.75" customHeight="1" x14ac:dyDescent="0.35">
      <c r="A327" s="2"/>
      <c r="B327" s="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 spans="1:15" ht="15.75" customHeight="1" x14ac:dyDescent="0.35">
      <c r="A328" s="2"/>
      <c r="B328" s="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</row>
    <row r="329" spans="1:15" ht="15.75" customHeight="1" x14ac:dyDescent="0.35">
      <c r="A329" s="2"/>
      <c r="B329" s="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 spans="1:15" ht="15.75" customHeight="1" x14ac:dyDescent="0.35">
      <c r="A330" s="2"/>
      <c r="B330" s="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</row>
    <row r="331" spans="1:15" ht="15.75" customHeight="1" x14ac:dyDescent="0.35">
      <c r="A331" s="2"/>
      <c r="B331" s="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 spans="1:15" ht="15.75" customHeight="1" x14ac:dyDescent="0.35">
      <c r="A332" s="2"/>
      <c r="B332" s="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</row>
    <row r="333" spans="1:15" ht="15.75" customHeight="1" x14ac:dyDescent="0.35">
      <c r="A333" s="2"/>
      <c r="B333" s="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 spans="1:15" ht="15.75" customHeight="1" x14ac:dyDescent="0.35">
      <c r="A334" s="2"/>
      <c r="B334" s="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</row>
    <row r="335" spans="1:15" ht="15.75" customHeight="1" x14ac:dyDescent="0.35">
      <c r="A335" s="2"/>
      <c r="B335" s="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 spans="1:15" ht="15.75" customHeight="1" x14ac:dyDescent="0.35">
      <c r="A336" s="2"/>
      <c r="B336" s="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</row>
    <row r="337" spans="1:15" ht="15.75" customHeight="1" x14ac:dyDescent="0.35">
      <c r="A337" s="2"/>
      <c r="B337" s="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 spans="1:15" ht="15.75" customHeight="1" x14ac:dyDescent="0.35">
      <c r="A338" s="2"/>
      <c r="B338" s="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</row>
    <row r="339" spans="1:15" ht="15.75" customHeight="1" x14ac:dyDescent="0.35">
      <c r="A339" s="2"/>
      <c r="B339" s="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 spans="1:15" ht="15.75" customHeight="1" x14ac:dyDescent="0.35">
      <c r="A340" s="2"/>
      <c r="B340" s="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</row>
    <row r="341" spans="1:15" ht="15.75" customHeight="1" x14ac:dyDescent="0.35">
      <c r="A341" s="2"/>
      <c r="B341" s="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 spans="1:15" ht="15.75" customHeight="1" x14ac:dyDescent="0.35">
      <c r="A342" s="2"/>
      <c r="B342" s="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</row>
    <row r="343" spans="1:15" ht="15.75" customHeight="1" x14ac:dyDescent="0.35">
      <c r="A343" s="2"/>
      <c r="B343" s="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 spans="1:15" ht="15.75" customHeight="1" x14ac:dyDescent="0.35">
      <c r="A344" s="2"/>
      <c r="B344" s="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</row>
    <row r="345" spans="1:15" ht="15.75" customHeight="1" x14ac:dyDescent="0.35">
      <c r="A345" s="2"/>
      <c r="B345" s="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 spans="1:15" ht="15.75" customHeight="1" x14ac:dyDescent="0.35">
      <c r="A346" s="2"/>
      <c r="B346" s="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</row>
    <row r="347" spans="1:15" ht="15.75" customHeight="1" x14ac:dyDescent="0.35">
      <c r="A347" s="2"/>
      <c r="B347" s="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 spans="1:15" ht="15.75" customHeight="1" x14ac:dyDescent="0.35">
      <c r="A348" s="2"/>
      <c r="B348" s="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</row>
    <row r="349" spans="1:15" ht="15.75" customHeight="1" x14ac:dyDescent="0.35">
      <c r="A349" s="2"/>
      <c r="B349" s="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 spans="1:15" ht="15.75" customHeight="1" x14ac:dyDescent="0.35">
      <c r="A350" s="2"/>
      <c r="B350" s="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</row>
    <row r="351" spans="1:15" ht="15.75" customHeight="1" x14ac:dyDescent="0.35">
      <c r="A351" s="2"/>
      <c r="B351" s="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 spans="1:15" ht="15.75" customHeight="1" x14ac:dyDescent="0.35">
      <c r="A352" s="2"/>
      <c r="B352" s="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</row>
    <row r="353" spans="1:15" ht="15.75" customHeight="1" x14ac:dyDescent="0.35">
      <c r="A353" s="2"/>
      <c r="B353" s="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 spans="1:15" ht="15.75" customHeight="1" x14ac:dyDescent="0.35">
      <c r="A354" s="2"/>
      <c r="B354" s="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</row>
    <row r="355" spans="1:15" ht="15.75" customHeight="1" x14ac:dyDescent="0.35">
      <c r="A355" s="2"/>
      <c r="B355" s="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 spans="1:15" ht="15.75" customHeight="1" x14ac:dyDescent="0.35">
      <c r="A356" s="2"/>
      <c r="B356" s="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</row>
    <row r="357" spans="1:15" ht="15.75" customHeight="1" x14ac:dyDescent="0.35">
      <c r="A357" s="2"/>
      <c r="B357" s="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 spans="1:15" ht="15.75" customHeight="1" x14ac:dyDescent="0.35">
      <c r="A358" s="2"/>
      <c r="B358" s="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</row>
    <row r="359" spans="1:15" ht="15.75" customHeight="1" x14ac:dyDescent="0.35">
      <c r="A359" s="2"/>
      <c r="B359" s="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 spans="1:15" ht="15.75" customHeight="1" x14ac:dyDescent="0.35">
      <c r="A360" s="2"/>
      <c r="B360" s="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</row>
    <row r="361" spans="1:15" ht="15.75" customHeight="1" x14ac:dyDescent="0.35">
      <c r="A361" s="2"/>
      <c r="B361" s="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 spans="1:15" ht="15.75" customHeight="1" x14ac:dyDescent="0.35">
      <c r="A362" s="2"/>
      <c r="B362" s="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</row>
    <row r="363" spans="1:15" ht="15.75" customHeight="1" x14ac:dyDescent="0.35">
      <c r="A363" s="2"/>
      <c r="B363" s="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 spans="1:15" ht="15.75" customHeight="1" x14ac:dyDescent="0.35">
      <c r="A364" s="2"/>
      <c r="B364" s="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</row>
    <row r="365" spans="1:15" ht="15.75" customHeight="1" x14ac:dyDescent="0.35">
      <c r="A365" s="2"/>
      <c r="B365" s="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 spans="1:15" ht="15.75" customHeight="1" x14ac:dyDescent="0.35">
      <c r="A366" s="2"/>
      <c r="B366" s="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</row>
    <row r="367" spans="1:15" ht="15.75" customHeight="1" x14ac:dyDescent="0.35">
      <c r="A367" s="2"/>
      <c r="B367" s="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 spans="1:15" ht="15.75" customHeight="1" x14ac:dyDescent="0.35">
      <c r="A368" s="2"/>
      <c r="B368" s="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</row>
    <row r="369" spans="1:15" ht="15.75" customHeight="1" x14ac:dyDescent="0.35">
      <c r="A369" s="2"/>
      <c r="B369" s="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 spans="1:15" ht="15.75" customHeight="1" x14ac:dyDescent="0.35">
      <c r="A370" s="2"/>
      <c r="B370" s="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</row>
    <row r="371" spans="1:15" ht="15.75" customHeight="1" x14ac:dyDescent="0.35">
      <c r="A371" s="2"/>
      <c r="B371" s="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 spans="1:15" ht="15.75" customHeight="1" x14ac:dyDescent="0.35">
      <c r="A372" s="2"/>
      <c r="B372" s="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</row>
    <row r="373" spans="1:15" ht="15.75" customHeight="1" x14ac:dyDescent="0.35">
      <c r="A373" s="2"/>
      <c r="B373" s="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 spans="1:15" ht="15.75" customHeight="1" x14ac:dyDescent="0.35">
      <c r="A374" s="2"/>
      <c r="B374" s="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</row>
    <row r="375" spans="1:15" ht="15.75" customHeight="1" x14ac:dyDescent="0.35">
      <c r="A375" s="2"/>
      <c r="B375" s="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 spans="1:15" ht="15.75" customHeight="1" x14ac:dyDescent="0.35">
      <c r="A376" s="2"/>
      <c r="B376" s="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</row>
    <row r="377" spans="1:15" ht="15.75" customHeight="1" x14ac:dyDescent="0.35">
      <c r="A377" s="2"/>
      <c r="B377" s="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 spans="1:15" ht="15.75" customHeight="1" x14ac:dyDescent="0.35">
      <c r="A378" s="2"/>
      <c r="B378" s="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</row>
    <row r="379" spans="1:15" ht="15.75" customHeight="1" x14ac:dyDescent="0.35">
      <c r="A379" s="2"/>
      <c r="B379" s="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 spans="1:15" ht="15.75" customHeight="1" x14ac:dyDescent="0.35">
      <c r="A380" s="2"/>
      <c r="B380" s="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</row>
    <row r="381" spans="1:15" ht="15.75" customHeight="1" x14ac:dyDescent="0.35">
      <c r="A381" s="2"/>
      <c r="B381" s="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 spans="1:15" ht="15.75" customHeight="1" x14ac:dyDescent="0.35">
      <c r="A382" s="2"/>
      <c r="B382" s="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</row>
    <row r="383" spans="1:15" ht="15.75" customHeight="1" x14ac:dyDescent="0.35">
      <c r="A383" s="2"/>
      <c r="B383" s="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 spans="1:15" ht="15.75" customHeight="1" x14ac:dyDescent="0.35">
      <c r="A384" s="2"/>
      <c r="B384" s="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</row>
    <row r="385" spans="1:15" ht="15.75" customHeight="1" x14ac:dyDescent="0.35">
      <c r="A385" s="2"/>
      <c r="B385" s="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 spans="1:15" ht="15.75" customHeight="1" x14ac:dyDescent="0.35">
      <c r="A386" s="2"/>
      <c r="B386" s="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</row>
    <row r="387" spans="1:15" ht="15.75" customHeight="1" x14ac:dyDescent="0.35">
      <c r="A387" s="2"/>
      <c r="B387" s="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 spans="1:15" ht="15.75" customHeight="1" x14ac:dyDescent="0.35">
      <c r="A388" s="2"/>
      <c r="B388" s="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</row>
    <row r="389" spans="1:15" ht="15.75" customHeight="1" x14ac:dyDescent="0.35">
      <c r="A389" s="2"/>
      <c r="B389" s="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 spans="1:15" ht="15.75" customHeight="1" x14ac:dyDescent="0.35">
      <c r="A390" s="2"/>
      <c r="B390" s="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</row>
    <row r="391" spans="1:15" ht="15.75" customHeight="1" x14ac:dyDescent="0.35">
      <c r="A391" s="2"/>
      <c r="B391" s="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 spans="1:15" ht="15.75" customHeight="1" x14ac:dyDescent="0.35">
      <c r="A392" s="2"/>
      <c r="B392" s="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</row>
    <row r="393" spans="1:15" ht="15.75" customHeight="1" x14ac:dyDescent="0.35">
      <c r="A393" s="2"/>
      <c r="B393" s="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 spans="1:15" ht="15.75" customHeight="1" x14ac:dyDescent="0.35">
      <c r="A394" s="2"/>
      <c r="B394" s="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</row>
    <row r="395" spans="1:15" ht="15.75" customHeight="1" x14ac:dyDescent="0.35">
      <c r="A395" s="2"/>
      <c r="B395" s="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 spans="1:15" ht="15.75" customHeight="1" x14ac:dyDescent="0.35">
      <c r="A396" s="2"/>
      <c r="B396" s="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</row>
    <row r="397" spans="1:15" ht="15.75" customHeight="1" x14ac:dyDescent="0.35">
      <c r="A397" s="2"/>
      <c r="B397" s="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 spans="1:15" ht="15.75" customHeight="1" x14ac:dyDescent="0.35">
      <c r="A398" s="2"/>
      <c r="B398" s="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</row>
    <row r="399" spans="1:15" ht="15.75" customHeight="1" x14ac:dyDescent="0.35">
      <c r="A399" s="2"/>
      <c r="B399" s="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 spans="1:15" ht="15.75" customHeight="1" x14ac:dyDescent="0.35">
      <c r="A400" s="2"/>
      <c r="B400" s="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</row>
    <row r="401" spans="1:15" ht="15.75" customHeight="1" x14ac:dyDescent="0.35">
      <c r="A401" s="2"/>
      <c r="B401" s="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 spans="1:15" ht="15.75" customHeight="1" x14ac:dyDescent="0.35">
      <c r="A402" s="2"/>
      <c r="B402" s="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</row>
    <row r="403" spans="1:15" ht="15.75" customHeight="1" x14ac:dyDescent="0.35">
      <c r="A403" s="2"/>
      <c r="B403" s="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 spans="1:15" ht="15.75" customHeight="1" x14ac:dyDescent="0.35">
      <c r="A404" s="2"/>
      <c r="B404" s="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</row>
    <row r="405" spans="1:15" ht="15.75" customHeight="1" x14ac:dyDescent="0.35">
      <c r="A405" s="2"/>
      <c r="B405" s="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 spans="1:15" ht="15.75" customHeight="1" x14ac:dyDescent="0.35">
      <c r="A406" s="2"/>
      <c r="B406" s="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</row>
    <row r="407" spans="1:15" ht="15.75" customHeight="1" x14ac:dyDescent="0.35">
      <c r="A407" s="2"/>
      <c r="B407" s="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 spans="1:15" ht="15.75" customHeight="1" x14ac:dyDescent="0.35">
      <c r="A408" s="2"/>
      <c r="B408" s="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</row>
    <row r="409" spans="1:15" ht="15.75" customHeight="1" x14ac:dyDescent="0.35">
      <c r="A409" s="2"/>
      <c r="B409" s="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 spans="1:15" ht="15.75" customHeight="1" x14ac:dyDescent="0.35">
      <c r="A410" s="2"/>
      <c r="B410" s="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</row>
    <row r="411" spans="1:15" ht="15.75" customHeight="1" x14ac:dyDescent="0.35">
      <c r="A411" s="2"/>
      <c r="B411" s="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 spans="1:15" ht="15.75" customHeight="1" x14ac:dyDescent="0.35">
      <c r="A412" s="2"/>
      <c r="B412" s="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</row>
    <row r="413" spans="1:15" ht="15.75" customHeight="1" x14ac:dyDescent="0.35">
      <c r="A413" s="2"/>
      <c r="B413" s="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 spans="1:15" ht="15.75" customHeight="1" x14ac:dyDescent="0.35">
      <c r="A414" s="2"/>
      <c r="B414" s="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</row>
    <row r="415" spans="1:15" ht="15.75" customHeight="1" x14ac:dyDescent="0.35">
      <c r="A415" s="2"/>
      <c r="B415" s="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 spans="1:15" ht="15.75" customHeight="1" x14ac:dyDescent="0.35">
      <c r="A416" s="2"/>
      <c r="B416" s="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</row>
    <row r="417" spans="1:15" ht="15.75" customHeight="1" x14ac:dyDescent="0.35">
      <c r="A417" s="2"/>
      <c r="B417" s="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 spans="1:15" ht="15.75" customHeight="1" x14ac:dyDescent="0.35">
      <c r="A418" s="2"/>
      <c r="B418" s="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</row>
    <row r="419" spans="1:15" ht="15.75" customHeight="1" x14ac:dyDescent="0.35">
      <c r="A419" s="2"/>
      <c r="B419" s="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 spans="1:15" ht="15.75" customHeight="1" x14ac:dyDescent="0.35">
      <c r="A420" s="2"/>
      <c r="B420" s="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</row>
    <row r="421" spans="1:15" ht="15.75" customHeight="1" x14ac:dyDescent="0.35">
      <c r="A421" s="2"/>
      <c r="B421" s="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 spans="1:15" ht="15.75" customHeight="1" x14ac:dyDescent="0.35">
      <c r="A422" s="2"/>
      <c r="B422" s="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</row>
    <row r="423" spans="1:15" ht="15.75" customHeight="1" x14ac:dyDescent="0.35">
      <c r="A423" s="2"/>
      <c r="B423" s="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 spans="1:15" ht="15.75" customHeight="1" x14ac:dyDescent="0.35">
      <c r="A424" s="2"/>
      <c r="B424" s="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</row>
    <row r="425" spans="1:15" ht="15.75" customHeight="1" x14ac:dyDescent="0.35">
      <c r="A425" s="2"/>
      <c r="B425" s="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 spans="1:15" ht="15.75" customHeight="1" x14ac:dyDescent="0.35">
      <c r="A426" s="2"/>
      <c r="B426" s="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</row>
    <row r="427" spans="1:15" ht="15.75" customHeight="1" x14ac:dyDescent="0.35">
      <c r="A427" s="2"/>
      <c r="B427" s="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 spans="1:15" ht="15.75" customHeight="1" x14ac:dyDescent="0.35">
      <c r="A428" s="2"/>
      <c r="B428" s="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</row>
    <row r="429" spans="1:15" ht="15.75" customHeight="1" x14ac:dyDescent="0.35">
      <c r="A429" s="2"/>
      <c r="B429" s="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 spans="1:15" ht="15.75" customHeight="1" x14ac:dyDescent="0.35">
      <c r="A430" s="2"/>
      <c r="B430" s="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</row>
    <row r="431" spans="1:15" ht="15.75" customHeight="1" x14ac:dyDescent="0.35">
      <c r="A431" s="2"/>
      <c r="B431" s="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 spans="1:15" ht="15.75" customHeight="1" x14ac:dyDescent="0.35">
      <c r="A432" s="2"/>
      <c r="B432" s="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</row>
    <row r="433" spans="1:15" ht="15.75" customHeight="1" x14ac:dyDescent="0.35">
      <c r="A433" s="2"/>
      <c r="B433" s="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 spans="1:15" ht="15.75" customHeight="1" x14ac:dyDescent="0.35">
      <c r="A434" s="2"/>
      <c r="B434" s="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</row>
    <row r="435" spans="1:15" ht="15.75" customHeight="1" x14ac:dyDescent="0.35">
      <c r="A435" s="2"/>
      <c r="B435" s="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 spans="1:15" ht="15.75" customHeight="1" x14ac:dyDescent="0.35">
      <c r="A436" s="2"/>
      <c r="B436" s="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</row>
    <row r="437" spans="1:15" ht="15.75" customHeight="1" x14ac:dyDescent="0.35">
      <c r="A437" s="2"/>
      <c r="B437" s="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 spans="1:15" ht="15.75" customHeight="1" x14ac:dyDescent="0.35">
      <c r="A438" s="2"/>
      <c r="B438" s="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</row>
    <row r="439" spans="1:15" ht="15.75" customHeight="1" x14ac:dyDescent="0.35">
      <c r="A439" s="2"/>
      <c r="B439" s="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 spans="1:15" ht="15.75" customHeight="1" x14ac:dyDescent="0.35">
      <c r="A440" s="2"/>
      <c r="B440" s="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</row>
    <row r="441" spans="1:15" ht="15.75" customHeight="1" x14ac:dyDescent="0.35">
      <c r="A441" s="2"/>
      <c r="B441" s="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 spans="1:15" ht="15.75" customHeight="1" x14ac:dyDescent="0.35">
      <c r="A442" s="2"/>
      <c r="B442" s="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</row>
    <row r="443" spans="1:15" ht="15.75" customHeight="1" x14ac:dyDescent="0.35">
      <c r="A443" s="2"/>
      <c r="B443" s="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 spans="1:15" ht="15.75" customHeight="1" x14ac:dyDescent="0.35">
      <c r="A444" s="2"/>
      <c r="B444" s="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</row>
    <row r="445" spans="1:15" ht="15.75" customHeight="1" x14ac:dyDescent="0.35">
      <c r="A445" s="2"/>
      <c r="B445" s="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 spans="1:15" ht="15.75" customHeight="1" x14ac:dyDescent="0.35">
      <c r="A446" s="2"/>
      <c r="B446" s="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</row>
    <row r="447" spans="1:15" ht="15.75" customHeight="1" x14ac:dyDescent="0.35">
      <c r="A447" s="2"/>
      <c r="B447" s="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 spans="1:15" ht="15.75" customHeight="1" x14ac:dyDescent="0.35">
      <c r="A448" s="2"/>
      <c r="B448" s="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</row>
    <row r="449" spans="1:15" ht="15.75" customHeight="1" x14ac:dyDescent="0.35">
      <c r="A449" s="2"/>
      <c r="B449" s="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 spans="1:15" ht="15.75" customHeight="1" x14ac:dyDescent="0.35">
      <c r="A450" s="2"/>
      <c r="B450" s="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</row>
    <row r="451" spans="1:15" ht="15.75" customHeight="1" x14ac:dyDescent="0.35">
      <c r="A451" s="2"/>
      <c r="B451" s="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 spans="1:15" ht="15.75" customHeight="1" x14ac:dyDescent="0.35">
      <c r="A452" s="2"/>
      <c r="B452" s="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</row>
    <row r="453" spans="1:15" ht="15.75" customHeight="1" x14ac:dyDescent="0.35">
      <c r="A453" s="2"/>
      <c r="B453" s="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</row>
    <row r="454" spans="1:15" ht="15.75" customHeight="1" x14ac:dyDescent="0.35">
      <c r="A454" s="2"/>
      <c r="B454" s="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</row>
    <row r="455" spans="1:15" ht="15.75" customHeight="1" x14ac:dyDescent="0.35">
      <c r="A455" s="2"/>
      <c r="B455" s="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</row>
    <row r="456" spans="1:15" ht="15.75" customHeight="1" x14ac:dyDescent="0.35">
      <c r="A456" s="2"/>
      <c r="B456" s="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</row>
    <row r="457" spans="1:15" ht="15.75" customHeight="1" x14ac:dyDescent="0.35">
      <c r="A457" s="2"/>
      <c r="B457" s="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</row>
    <row r="458" spans="1:15" ht="15.75" customHeight="1" x14ac:dyDescent="0.35">
      <c r="A458" s="2"/>
      <c r="B458" s="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</row>
    <row r="459" spans="1:15" ht="15.75" customHeight="1" x14ac:dyDescent="0.35">
      <c r="A459" s="2"/>
      <c r="B459" s="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</row>
    <row r="460" spans="1:15" ht="15.75" customHeight="1" x14ac:dyDescent="0.35">
      <c r="A460" s="2"/>
      <c r="B460" s="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</row>
    <row r="461" spans="1:15" ht="15.75" customHeight="1" x14ac:dyDescent="0.35">
      <c r="A461" s="2"/>
      <c r="B461" s="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</row>
    <row r="462" spans="1:15" ht="15.75" customHeight="1" x14ac:dyDescent="0.35">
      <c r="A462" s="2"/>
      <c r="B462" s="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</row>
    <row r="463" spans="1:15" ht="15.75" customHeight="1" x14ac:dyDescent="0.35">
      <c r="A463" s="2"/>
      <c r="B463" s="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</row>
    <row r="464" spans="1:15" ht="15.75" customHeight="1" x14ac:dyDescent="0.35">
      <c r="A464" s="2"/>
      <c r="B464" s="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</row>
    <row r="465" spans="1:15" ht="15.75" customHeight="1" x14ac:dyDescent="0.35">
      <c r="A465" s="2"/>
      <c r="B465" s="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</row>
    <row r="466" spans="1:15" ht="15.75" customHeight="1" x14ac:dyDescent="0.35">
      <c r="A466" s="2"/>
      <c r="B466" s="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</row>
    <row r="467" spans="1:15" ht="15.75" customHeight="1" x14ac:dyDescent="0.35">
      <c r="A467" s="2"/>
      <c r="B467" s="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</row>
    <row r="468" spans="1:15" ht="15.75" customHeight="1" x14ac:dyDescent="0.35">
      <c r="A468" s="2"/>
      <c r="B468" s="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</row>
    <row r="469" spans="1:15" ht="15.75" customHeight="1" x14ac:dyDescent="0.35">
      <c r="A469" s="2"/>
      <c r="B469" s="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</row>
    <row r="470" spans="1:15" ht="15.75" customHeight="1" x14ac:dyDescent="0.35">
      <c r="A470" s="2"/>
      <c r="B470" s="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</row>
    <row r="471" spans="1:15" ht="15.75" customHeight="1" x14ac:dyDescent="0.35">
      <c r="A471" s="2"/>
      <c r="B471" s="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</row>
    <row r="472" spans="1:15" ht="15.75" customHeight="1" x14ac:dyDescent="0.35">
      <c r="A472" s="2"/>
      <c r="B472" s="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</row>
    <row r="473" spans="1:15" ht="15.75" customHeight="1" x14ac:dyDescent="0.35">
      <c r="A473" s="2"/>
      <c r="B473" s="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</row>
    <row r="474" spans="1:15" ht="15.75" customHeight="1" x14ac:dyDescent="0.35">
      <c r="A474" s="2"/>
      <c r="B474" s="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</row>
    <row r="475" spans="1:15" ht="15.75" customHeight="1" x14ac:dyDescent="0.35">
      <c r="A475" s="2"/>
      <c r="B475" s="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</row>
    <row r="476" spans="1:15" ht="15.75" customHeight="1" x14ac:dyDescent="0.35">
      <c r="A476" s="2"/>
      <c r="B476" s="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</row>
    <row r="477" spans="1:15" ht="15.75" customHeight="1" x14ac:dyDescent="0.35">
      <c r="A477" s="2"/>
      <c r="B477" s="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</row>
    <row r="478" spans="1:15" ht="15.75" customHeight="1" x14ac:dyDescent="0.35">
      <c r="A478" s="2"/>
      <c r="B478" s="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</row>
    <row r="479" spans="1:15" ht="15.75" customHeight="1" x14ac:dyDescent="0.35">
      <c r="A479" s="2"/>
      <c r="B479" s="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</row>
    <row r="480" spans="1:15" ht="15.75" customHeight="1" x14ac:dyDescent="0.35">
      <c r="A480" s="2"/>
      <c r="B480" s="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</row>
    <row r="481" spans="1:15" ht="15.75" customHeight="1" x14ac:dyDescent="0.35">
      <c r="A481" s="2"/>
      <c r="B481" s="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</row>
    <row r="482" spans="1:15" ht="15.75" customHeight="1" x14ac:dyDescent="0.35">
      <c r="A482" s="2"/>
      <c r="B482" s="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</row>
    <row r="483" spans="1:15" ht="15.75" customHeight="1" x14ac:dyDescent="0.35">
      <c r="A483" s="2"/>
      <c r="B483" s="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</row>
    <row r="484" spans="1:15" ht="15.75" customHeight="1" x14ac:dyDescent="0.35">
      <c r="A484" s="2"/>
      <c r="B484" s="3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</row>
    <row r="485" spans="1:15" ht="15.75" customHeight="1" x14ac:dyDescent="0.35">
      <c r="A485" s="2"/>
      <c r="B485" s="3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</row>
    <row r="486" spans="1:15" ht="15.75" customHeight="1" x14ac:dyDescent="0.35">
      <c r="A486" s="2"/>
      <c r="B486" s="3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</row>
    <row r="487" spans="1:15" ht="15.75" customHeight="1" x14ac:dyDescent="0.35">
      <c r="A487" s="2"/>
      <c r="B487" s="3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</row>
    <row r="488" spans="1:15" ht="15.75" customHeight="1" x14ac:dyDescent="0.35">
      <c r="A488" s="2"/>
      <c r="B488" s="3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</row>
    <row r="489" spans="1:15" ht="15.75" customHeight="1" x14ac:dyDescent="0.35">
      <c r="A489" s="2"/>
      <c r="B489" s="3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</row>
    <row r="490" spans="1:15" ht="15.75" customHeight="1" x14ac:dyDescent="0.35">
      <c r="A490" s="2"/>
      <c r="B490" s="3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</row>
    <row r="491" spans="1:15" ht="15.75" customHeight="1" x14ac:dyDescent="0.35">
      <c r="A491" s="2"/>
      <c r="B491" s="3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</row>
    <row r="492" spans="1:15" ht="15.75" customHeight="1" x14ac:dyDescent="0.35">
      <c r="A492" s="2"/>
      <c r="B492" s="3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</row>
    <row r="493" spans="1:15" ht="15.75" customHeight="1" x14ac:dyDescent="0.35">
      <c r="A493" s="2"/>
      <c r="B493" s="3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</row>
    <row r="494" spans="1:15" ht="15.75" customHeight="1" x14ac:dyDescent="0.35">
      <c r="A494" s="2"/>
      <c r="B494" s="3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</row>
    <row r="495" spans="1:15" ht="15.75" customHeight="1" x14ac:dyDescent="0.35">
      <c r="A495" s="2"/>
      <c r="B495" s="3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</row>
    <row r="496" spans="1:15" ht="15.75" customHeight="1" x14ac:dyDescent="0.35">
      <c r="A496" s="2"/>
      <c r="B496" s="3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</row>
    <row r="497" spans="1:15" ht="15.75" customHeight="1" x14ac:dyDescent="0.35">
      <c r="A497" s="2"/>
      <c r="B497" s="3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</row>
    <row r="498" spans="1:15" ht="15.75" customHeight="1" x14ac:dyDescent="0.35">
      <c r="A498" s="2"/>
      <c r="B498" s="3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</row>
    <row r="499" spans="1:15" ht="15.75" customHeight="1" x14ac:dyDescent="0.35">
      <c r="A499" s="2"/>
      <c r="B499" s="3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</row>
    <row r="500" spans="1:15" ht="15.75" customHeight="1" x14ac:dyDescent="0.35">
      <c r="A500" s="2"/>
      <c r="B500" s="3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</row>
    <row r="501" spans="1:15" ht="15.75" customHeight="1" x14ac:dyDescent="0.35">
      <c r="A501" s="2"/>
      <c r="B501" s="3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</row>
    <row r="502" spans="1:15" ht="15.75" customHeight="1" x14ac:dyDescent="0.35">
      <c r="A502" s="2"/>
      <c r="B502" s="3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</row>
    <row r="503" spans="1:15" ht="15.75" customHeight="1" x14ac:dyDescent="0.35">
      <c r="A503" s="2"/>
      <c r="B503" s="3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</row>
    <row r="504" spans="1:15" ht="15.75" customHeight="1" x14ac:dyDescent="0.35">
      <c r="A504" s="2"/>
      <c r="B504" s="3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</row>
    <row r="505" spans="1:15" ht="15.75" customHeight="1" x14ac:dyDescent="0.35">
      <c r="A505" s="2"/>
      <c r="B505" s="3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</row>
    <row r="506" spans="1:15" ht="15.75" customHeight="1" x14ac:dyDescent="0.35">
      <c r="A506" s="2"/>
      <c r="B506" s="3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</row>
    <row r="507" spans="1:15" ht="15.75" customHeight="1" x14ac:dyDescent="0.35">
      <c r="A507" s="2"/>
      <c r="B507" s="3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</row>
    <row r="508" spans="1:15" ht="15.75" customHeight="1" x14ac:dyDescent="0.35">
      <c r="A508" s="2"/>
      <c r="B508" s="3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</row>
    <row r="509" spans="1:15" ht="15.75" customHeight="1" x14ac:dyDescent="0.35">
      <c r="A509" s="2"/>
      <c r="B509" s="3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</row>
    <row r="510" spans="1:15" ht="15.75" customHeight="1" x14ac:dyDescent="0.35">
      <c r="A510" s="2"/>
      <c r="B510" s="3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</row>
    <row r="511" spans="1:15" ht="15.75" customHeight="1" x14ac:dyDescent="0.35">
      <c r="A511" s="2"/>
      <c r="B511" s="3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</row>
    <row r="512" spans="1:15" ht="15.75" customHeight="1" x14ac:dyDescent="0.35">
      <c r="A512" s="2"/>
      <c r="B512" s="3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</row>
    <row r="513" spans="1:15" ht="15.75" customHeight="1" x14ac:dyDescent="0.35">
      <c r="A513" s="2"/>
      <c r="B513" s="3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</row>
    <row r="514" spans="1:15" ht="15.75" customHeight="1" x14ac:dyDescent="0.35">
      <c r="A514" s="2"/>
      <c r="B514" s="3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</row>
    <row r="515" spans="1:15" ht="15.75" customHeight="1" x14ac:dyDescent="0.35">
      <c r="A515" s="2"/>
      <c r="B515" s="3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</row>
    <row r="516" spans="1:15" ht="15.75" customHeight="1" x14ac:dyDescent="0.35">
      <c r="A516" s="2"/>
      <c r="B516" s="3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</row>
    <row r="517" spans="1:15" ht="15.75" customHeight="1" x14ac:dyDescent="0.35">
      <c r="A517" s="2"/>
      <c r="B517" s="3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</row>
    <row r="518" spans="1:15" ht="15.75" customHeight="1" x14ac:dyDescent="0.35">
      <c r="A518" s="2"/>
      <c r="B518" s="3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</row>
    <row r="519" spans="1:15" ht="15.75" customHeight="1" x14ac:dyDescent="0.35">
      <c r="A519" s="2"/>
      <c r="B519" s="3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</row>
    <row r="520" spans="1:15" ht="15.75" customHeight="1" x14ac:dyDescent="0.35">
      <c r="A520" s="2"/>
      <c r="B520" s="3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</row>
    <row r="521" spans="1:15" ht="15.75" customHeight="1" x14ac:dyDescent="0.35">
      <c r="A521" s="2"/>
      <c r="B521" s="3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</row>
    <row r="522" spans="1:15" ht="15.75" customHeight="1" x14ac:dyDescent="0.35">
      <c r="A522" s="2"/>
      <c r="B522" s="3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</row>
    <row r="523" spans="1:15" ht="15.75" customHeight="1" x14ac:dyDescent="0.35">
      <c r="A523" s="2"/>
      <c r="B523" s="3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</row>
    <row r="524" spans="1:15" ht="15.75" customHeight="1" x14ac:dyDescent="0.35">
      <c r="A524" s="2"/>
      <c r="B524" s="3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</row>
    <row r="525" spans="1:15" ht="15.75" customHeight="1" x14ac:dyDescent="0.35">
      <c r="A525" s="2"/>
      <c r="B525" s="3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</row>
    <row r="526" spans="1:15" ht="15.75" customHeight="1" x14ac:dyDescent="0.35">
      <c r="A526" s="2"/>
      <c r="B526" s="3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</row>
    <row r="527" spans="1:15" ht="15.75" customHeight="1" x14ac:dyDescent="0.35">
      <c r="A527" s="2"/>
      <c r="B527" s="3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</row>
    <row r="528" spans="1:15" ht="15.75" customHeight="1" x14ac:dyDescent="0.35">
      <c r="A528" s="2"/>
      <c r="B528" s="3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</row>
    <row r="529" spans="1:15" ht="15.75" customHeight="1" x14ac:dyDescent="0.35">
      <c r="A529" s="2"/>
      <c r="B529" s="3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</row>
    <row r="530" spans="1:15" ht="15.75" customHeight="1" x14ac:dyDescent="0.35">
      <c r="A530" s="2"/>
      <c r="B530" s="3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</row>
    <row r="531" spans="1:15" ht="15.75" customHeight="1" x14ac:dyDescent="0.35">
      <c r="A531" s="2"/>
      <c r="B531" s="3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</row>
    <row r="532" spans="1:15" ht="15.75" customHeight="1" x14ac:dyDescent="0.35">
      <c r="A532" s="2"/>
      <c r="B532" s="3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</row>
    <row r="533" spans="1:15" ht="15.75" customHeight="1" x14ac:dyDescent="0.35">
      <c r="A533" s="2"/>
      <c r="B533" s="3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</row>
    <row r="534" spans="1:15" ht="15.75" customHeight="1" x14ac:dyDescent="0.35">
      <c r="A534" s="2"/>
      <c r="B534" s="3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</row>
    <row r="535" spans="1:15" ht="15.75" customHeight="1" x14ac:dyDescent="0.35">
      <c r="A535" s="2"/>
      <c r="B535" s="3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</row>
    <row r="536" spans="1:15" ht="15.75" customHeight="1" x14ac:dyDescent="0.35">
      <c r="A536" s="2"/>
      <c r="B536" s="3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</row>
    <row r="537" spans="1:15" ht="15.75" customHeight="1" x14ac:dyDescent="0.35">
      <c r="A537" s="2"/>
      <c r="B537" s="3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</row>
    <row r="538" spans="1:15" ht="15.75" customHeight="1" x14ac:dyDescent="0.35">
      <c r="A538" s="2"/>
      <c r="B538" s="3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</row>
    <row r="539" spans="1:15" ht="15.75" customHeight="1" x14ac:dyDescent="0.35">
      <c r="A539" s="2"/>
      <c r="B539" s="3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</row>
    <row r="540" spans="1:15" ht="15.75" customHeight="1" x14ac:dyDescent="0.35">
      <c r="A540" s="2"/>
      <c r="B540" s="3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</row>
    <row r="541" spans="1:15" ht="15.75" customHeight="1" x14ac:dyDescent="0.35">
      <c r="A541" s="2"/>
      <c r="B541" s="3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</row>
    <row r="542" spans="1:15" ht="15.75" customHeight="1" x14ac:dyDescent="0.35">
      <c r="A542" s="2"/>
      <c r="B542" s="3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</row>
    <row r="543" spans="1:15" ht="15.75" customHeight="1" x14ac:dyDescent="0.35">
      <c r="A543" s="2"/>
      <c r="B543" s="3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</row>
    <row r="544" spans="1:15" ht="15.75" customHeight="1" x14ac:dyDescent="0.35">
      <c r="A544" s="2"/>
      <c r="B544" s="3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</row>
    <row r="545" spans="1:15" ht="15.75" customHeight="1" x14ac:dyDescent="0.35">
      <c r="A545" s="2"/>
      <c r="B545" s="3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</row>
    <row r="546" spans="1:15" ht="15.75" customHeight="1" x14ac:dyDescent="0.35">
      <c r="A546" s="2"/>
      <c r="B546" s="3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</row>
    <row r="547" spans="1:15" ht="15.75" customHeight="1" x14ac:dyDescent="0.35">
      <c r="A547" s="2"/>
      <c r="B547" s="3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</row>
    <row r="548" spans="1:15" ht="15.75" customHeight="1" x14ac:dyDescent="0.35">
      <c r="A548" s="2"/>
      <c r="B548" s="3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</row>
    <row r="549" spans="1:15" ht="15.75" customHeight="1" x14ac:dyDescent="0.35">
      <c r="A549" s="2"/>
      <c r="B549" s="3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</row>
    <row r="550" spans="1:15" ht="15.75" customHeight="1" x14ac:dyDescent="0.35">
      <c r="A550" s="2"/>
      <c r="B550" s="3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</row>
    <row r="551" spans="1:15" ht="15.75" customHeight="1" x14ac:dyDescent="0.35">
      <c r="A551" s="2"/>
      <c r="B551" s="3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</row>
    <row r="552" spans="1:15" ht="15.75" customHeight="1" x14ac:dyDescent="0.35">
      <c r="A552" s="2"/>
      <c r="B552" s="3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</row>
    <row r="553" spans="1:15" ht="15.75" customHeight="1" x14ac:dyDescent="0.35">
      <c r="A553" s="2"/>
      <c r="B553" s="3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</row>
    <row r="554" spans="1:15" ht="15.75" customHeight="1" x14ac:dyDescent="0.35">
      <c r="A554" s="2"/>
      <c r="B554" s="3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</row>
    <row r="555" spans="1:15" ht="15.75" customHeight="1" x14ac:dyDescent="0.35">
      <c r="A555" s="2"/>
      <c r="B555" s="3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</row>
    <row r="556" spans="1:15" ht="15.75" customHeight="1" x14ac:dyDescent="0.35">
      <c r="A556" s="2"/>
      <c r="B556" s="3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</row>
    <row r="557" spans="1:15" ht="15.75" customHeight="1" x14ac:dyDescent="0.35">
      <c r="A557" s="2"/>
      <c r="B557" s="3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</row>
    <row r="558" spans="1:15" ht="15.75" customHeight="1" x14ac:dyDescent="0.35">
      <c r="A558" s="2"/>
      <c r="B558" s="3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</row>
    <row r="559" spans="1:15" ht="15.75" customHeight="1" x14ac:dyDescent="0.35">
      <c r="A559" s="2"/>
      <c r="B559" s="3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</row>
    <row r="560" spans="1:15" ht="15.75" customHeight="1" x14ac:dyDescent="0.35">
      <c r="A560" s="2"/>
      <c r="B560" s="3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</row>
    <row r="561" spans="1:15" ht="15.75" customHeight="1" x14ac:dyDescent="0.35">
      <c r="A561" s="2"/>
      <c r="B561" s="3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</row>
    <row r="562" spans="1:15" ht="15.75" customHeight="1" x14ac:dyDescent="0.35">
      <c r="A562" s="2"/>
      <c r="B562" s="3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</row>
    <row r="563" spans="1:15" ht="15.75" customHeight="1" x14ac:dyDescent="0.35">
      <c r="A563" s="2"/>
      <c r="B563" s="3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</row>
    <row r="564" spans="1:15" ht="15.75" customHeight="1" x14ac:dyDescent="0.35">
      <c r="A564" s="2"/>
      <c r="B564" s="3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</row>
    <row r="565" spans="1:15" ht="15.75" customHeight="1" x14ac:dyDescent="0.35">
      <c r="A565" s="2"/>
      <c r="B565" s="3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</row>
    <row r="566" spans="1:15" ht="15.75" customHeight="1" x14ac:dyDescent="0.35">
      <c r="A566" s="2"/>
      <c r="B566" s="3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</row>
    <row r="567" spans="1:15" ht="15.75" customHeight="1" x14ac:dyDescent="0.35">
      <c r="A567" s="2"/>
      <c r="B567" s="3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</row>
    <row r="568" spans="1:15" ht="15.75" customHeight="1" x14ac:dyDescent="0.35">
      <c r="A568" s="2"/>
      <c r="B568" s="3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</row>
    <row r="569" spans="1:15" ht="15.75" customHeight="1" x14ac:dyDescent="0.35">
      <c r="A569" s="2"/>
      <c r="B569" s="3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</row>
    <row r="570" spans="1:15" ht="15.75" customHeight="1" x14ac:dyDescent="0.35">
      <c r="A570" s="2"/>
      <c r="B570" s="3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</row>
    <row r="571" spans="1:15" ht="15.75" customHeight="1" x14ac:dyDescent="0.35">
      <c r="A571" s="2"/>
      <c r="B571" s="3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</row>
    <row r="572" spans="1:15" ht="15.75" customHeight="1" x14ac:dyDescent="0.35">
      <c r="A572" s="2"/>
      <c r="B572" s="3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</row>
    <row r="573" spans="1:15" ht="15.75" customHeight="1" x14ac:dyDescent="0.35">
      <c r="A573" s="2"/>
      <c r="B573" s="3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</row>
    <row r="574" spans="1:15" ht="15.75" customHeight="1" x14ac:dyDescent="0.35">
      <c r="A574" s="2"/>
      <c r="B574" s="3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</row>
    <row r="575" spans="1:15" ht="15.75" customHeight="1" x14ac:dyDescent="0.35">
      <c r="A575" s="2"/>
      <c r="B575" s="3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</row>
    <row r="576" spans="1:15" ht="15.75" customHeight="1" x14ac:dyDescent="0.35">
      <c r="A576" s="2"/>
      <c r="B576" s="3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</row>
    <row r="577" spans="1:15" ht="15.75" customHeight="1" x14ac:dyDescent="0.35">
      <c r="A577" s="2"/>
      <c r="B577" s="3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</row>
    <row r="578" spans="1:15" ht="15.75" customHeight="1" x14ac:dyDescent="0.35">
      <c r="A578" s="2"/>
      <c r="B578" s="3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</row>
    <row r="579" spans="1:15" ht="15.75" customHeight="1" x14ac:dyDescent="0.35">
      <c r="A579" s="2"/>
      <c r="B579" s="3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</row>
    <row r="580" spans="1:15" ht="15.75" customHeight="1" x14ac:dyDescent="0.35">
      <c r="A580" s="2"/>
      <c r="B580" s="3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</row>
    <row r="581" spans="1:15" ht="15.75" customHeight="1" x14ac:dyDescent="0.35">
      <c r="A581" s="2"/>
      <c r="B581" s="3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</row>
    <row r="582" spans="1:15" ht="15.75" customHeight="1" x14ac:dyDescent="0.35">
      <c r="A582" s="2"/>
      <c r="B582" s="3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</row>
    <row r="583" spans="1:15" ht="15.75" customHeight="1" x14ac:dyDescent="0.35">
      <c r="A583" s="2"/>
      <c r="B583" s="3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</row>
    <row r="584" spans="1:15" ht="15.75" customHeight="1" x14ac:dyDescent="0.35">
      <c r="A584" s="2"/>
      <c r="B584" s="3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</row>
    <row r="585" spans="1:15" ht="15.75" customHeight="1" x14ac:dyDescent="0.35">
      <c r="A585" s="2"/>
      <c r="B585" s="3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</row>
    <row r="586" spans="1:15" ht="15.75" customHeight="1" x14ac:dyDescent="0.35">
      <c r="A586" s="2"/>
      <c r="B586" s="3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</row>
    <row r="587" spans="1:15" ht="15.75" customHeight="1" x14ac:dyDescent="0.35">
      <c r="A587" s="2"/>
      <c r="B587" s="3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</row>
    <row r="588" spans="1:15" ht="15.75" customHeight="1" x14ac:dyDescent="0.35">
      <c r="A588" s="2"/>
      <c r="B588" s="3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</row>
    <row r="589" spans="1:15" ht="15.75" customHeight="1" x14ac:dyDescent="0.35">
      <c r="A589" s="2"/>
      <c r="B589" s="3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</row>
    <row r="590" spans="1:15" ht="15.75" customHeight="1" x14ac:dyDescent="0.35">
      <c r="A590" s="2"/>
      <c r="B590" s="3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</row>
    <row r="591" spans="1:15" ht="15.75" customHeight="1" x14ac:dyDescent="0.35">
      <c r="A591" s="2"/>
      <c r="B591" s="3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</row>
    <row r="592" spans="1:15" ht="15.75" customHeight="1" x14ac:dyDescent="0.35">
      <c r="A592" s="2"/>
      <c r="B592" s="3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</row>
    <row r="593" spans="1:15" ht="15.75" customHeight="1" x14ac:dyDescent="0.35">
      <c r="A593" s="2"/>
      <c r="B593" s="3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</row>
    <row r="594" spans="1:15" ht="15.75" customHeight="1" x14ac:dyDescent="0.35">
      <c r="A594" s="2"/>
      <c r="B594" s="3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</row>
    <row r="595" spans="1:15" ht="15.75" customHeight="1" x14ac:dyDescent="0.35">
      <c r="A595" s="2"/>
      <c r="B595" s="3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</row>
    <row r="596" spans="1:15" ht="15.75" customHeight="1" x14ac:dyDescent="0.35">
      <c r="A596" s="2"/>
      <c r="B596" s="3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</row>
    <row r="597" spans="1:15" ht="15.75" customHeight="1" x14ac:dyDescent="0.35">
      <c r="A597" s="2"/>
      <c r="B597" s="3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</row>
    <row r="598" spans="1:15" ht="15.75" customHeight="1" x14ac:dyDescent="0.35">
      <c r="A598" s="2"/>
      <c r="B598" s="3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</row>
    <row r="599" spans="1:15" ht="15.75" customHeight="1" x14ac:dyDescent="0.35">
      <c r="A599" s="2"/>
      <c r="B599" s="3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</row>
    <row r="600" spans="1:15" ht="15.75" customHeight="1" x14ac:dyDescent="0.35">
      <c r="A600" s="2"/>
      <c r="B600" s="3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</row>
    <row r="601" spans="1:15" ht="15.75" customHeight="1" x14ac:dyDescent="0.35">
      <c r="A601" s="2"/>
      <c r="B601" s="3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</row>
    <row r="602" spans="1:15" ht="15.75" customHeight="1" x14ac:dyDescent="0.35">
      <c r="A602" s="2"/>
      <c r="B602" s="3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</row>
    <row r="603" spans="1:15" ht="15.75" customHeight="1" x14ac:dyDescent="0.35">
      <c r="A603" s="2"/>
      <c r="B603" s="3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</row>
    <row r="604" spans="1:15" ht="15.75" customHeight="1" x14ac:dyDescent="0.35">
      <c r="A604" s="2"/>
      <c r="B604" s="3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</row>
    <row r="605" spans="1:15" ht="15.75" customHeight="1" x14ac:dyDescent="0.35">
      <c r="A605" s="2"/>
      <c r="B605" s="3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</row>
    <row r="606" spans="1:15" ht="15.75" customHeight="1" x14ac:dyDescent="0.35">
      <c r="A606" s="2"/>
      <c r="B606" s="3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</row>
    <row r="607" spans="1:15" ht="15.75" customHeight="1" x14ac:dyDescent="0.35">
      <c r="A607" s="2"/>
      <c r="B607" s="3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</row>
    <row r="608" spans="1:15" ht="15.75" customHeight="1" x14ac:dyDescent="0.35">
      <c r="A608" s="2"/>
      <c r="B608" s="3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</row>
    <row r="609" spans="1:15" ht="15.75" customHeight="1" x14ac:dyDescent="0.35">
      <c r="A609" s="2"/>
      <c r="B609" s="3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</row>
    <row r="610" spans="1:15" ht="15.75" customHeight="1" x14ac:dyDescent="0.35">
      <c r="A610" s="2"/>
      <c r="B610" s="3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</row>
    <row r="611" spans="1:15" ht="15.75" customHeight="1" x14ac:dyDescent="0.35">
      <c r="A611" s="2"/>
      <c r="B611" s="3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</row>
    <row r="612" spans="1:15" ht="15.75" customHeight="1" x14ac:dyDescent="0.35">
      <c r="A612" s="2"/>
      <c r="B612" s="3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</row>
    <row r="613" spans="1:15" ht="15.75" customHeight="1" x14ac:dyDescent="0.35">
      <c r="A613" s="2"/>
      <c r="B613" s="3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</row>
    <row r="614" spans="1:15" ht="15.75" customHeight="1" x14ac:dyDescent="0.35">
      <c r="A614" s="2"/>
      <c r="B614" s="3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</row>
    <row r="615" spans="1:15" ht="15.75" customHeight="1" x14ac:dyDescent="0.35">
      <c r="A615" s="2"/>
      <c r="B615" s="3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</row>
    <row r="616" spans="1:15" ht="15.75" customHeight="1" x14ac:dyDescent="0.35">
      <c r="A616" s="2"/>
      <c r="B616" s="3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</row>
    <row r="617" spans="1:15" ht="15.75" customHeight="1" x14ac:dyDescent="0.35">
      <c r="A617" s="2"/>
      <c r="B617" s="3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</row>
    <row r="618" spans="1:15" ht="15.75" customHeight="1" x14ac:dyDescent="0.35">
      <c r="A618" s="2"/>
      <c r="B618" s="3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</row>
    <row r="619" spans="1:15" ht="15.75" customHeight="1" x14ac:dyDescent="0.35">
      <c r="A619" s="2"/>
      <c r="B619" s="3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</row>
    <row r="620" spans="1:15" ht="15.75" customHeight="1" x14ac:dyDescent="0.35">
      <c r="A620" s="2"/>
      <c r="B620" s="3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</row>
    <row r="621" spans="1:15" ht="15.75" customHeight="1" x14ac:dyDescent="0.35">
      <c r="A621" s="2"/>
      <c r="B621" s="3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</row>
    <row r="622" spans="1:15" ht="15.75" customHeight="1" x14ac:dyDescent="0.35">
      <c r="A622" s="2"/>
      <c r="B622" s="3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</row>
    <row r="623" spans="1:15" ht="15.75" customHeight="1" x14ac:dyDescent="0.35">
      <c r="A623" s="2"/>
      <c r="B623" s="3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</row>
    <row r="624" spans="1:15" ht="15.75" customHeight="1" x14ac:dyDescent="0.35">
      <c r="A624" s="2"/>
      <c r="B624" s="3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</row>
    <row r="625" spans="1:15" ht="15.75" customHeight="1" x14ac:dyDescent="0.35">
      <c r="A625" s="2"/>
      <c r="B625" s="3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</row>
    <row r="626" spans="1:15" ht="15.75" customHeight="1" x14ac:dyDescent="0.35">
      <c r="A626" s="2"/>
      <c r="B626" s="3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</row>
    <row r="627" spans="1:15" ht="15.75" customHeight="1" x14ac:dyDescent="0.35">
      <c r="A627" s="2"/>
      <c r="B627" s="3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</row>
    <row r="628" spans="1:15" ht="15.75" customHeight="1" x14ac:dyDescent="0.35">
      <c r="A628" s="2"/>
      <c r="B628" s="3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</row>
    <row r="629" spans="1:15" ht="15.75" customHeight="1" x14ac:dyDescent="0.35">
      <c r="A629" s="2"/>
      <c r="B629" s="3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</row>
    <row r="630" spans="1:15" ht="15.75" customHeight="1" x14ac:dyDescent="0.35">
      <c r="A630" s="2"/>
      <c r="B630" s="3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</row>
    <row r="631" spans="1:15" ht="15.75" customHeight="1" x14ac:dyDescent="0.35">
      <c r="A631" s="2"/>
      <c r="B631" s="3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</row>
    <row r="632" spans="1:15" ht="15.75" customHeight="1" x14ac:dyDescent="0.35">
      <c r="A632" s="2"/>
      <c r="B632" s="3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</row>
    <row r="633" spans="1:15" ht="15.75" customHeight="1" x14ac:dyDescent="0.35">
      <c r="A633" s="2"/>
      <c r="B633" s="3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</row>
    <row r="634" spans="1:15" ht="15.75" customHeight="1" x14ac:dyDescent="0.35">
      <c r="A634" s="2"/>
      <c r="B634" s="3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</row>
    <row r="635" spans="1:15" ht="15.75" customHeight="1" x14ac:dyDescent="0.35">
      <c r="A635" s="2"/>
      <c r="B635" s="3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</row>
    <row r="636" spans="1:15" ht="15.75" customHeight="1" x14ac:dyDescent="0.35">
      <c r="A636" s="2"/>
      <c r="B636" s="3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</row>
    <row r="637" spans="1:15" ht="15.75" customHeight="1" x14ac:dyDescent="0.35">
      <c r="A637" s="2"/>
      <c r="B637" s="3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</row>
    <row r="638" spans="1:15" ht="15.75" customHeight="1" x14ac:dyDescent="0.35">
      <c r="A638" s="2"/>
      <c r="B638" s="3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</row>
    <row r="639" spans="1:15" ht="15.75" customHeight="1" x14ac:dyDescent="0.35">
      <c r="A639" s="2"/>
      <c r="B639" s="3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</row>
    <row r="640" spans="1:15" ht="15.75" customHeight="1" x14ac:dyDescent="0.35">
      <c r="A640" s="2"/>
      <c r="B640" s="3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</row>
    <row r="641" spans="1:15" ht="15.75" customHeight="1" x14ac:dyDescent="0.35">
      <c r="A641" s="2"/>
      <c r="B641" s="3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</row>
    <row r="642" spans="1:15" ht="15.75" customHeight="1" x14ac:dyDescent="0.35">
      <c r="A642" s="2"/>
      <c r="B642" s="3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</row>
    <row r="643" spans="1:15" ht="15.75" customHeight="1" x14ac:dyDescent="0.35">
      <c r="A643" s="2"/>
      <c r="B643" s="3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</row>
    <row r="644" spans="1:15" ht="15.75" customHeight="1" x14ac:dyDescent="0.35">
      <c r="A644" s="2"/>
      <c r="B644" s="3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</row>
    <row r="645" spans="1:15" ht="15.75" customHeight="1" x14ac:dyDescent="0.35">
      <c r="A645" s="2"/>
      <c r="B645" s="3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</row>
    <row r="646" spans="1:15" ht="15.75" customHeight="1" x14ac:dyDescent="0.35">
      <c r="A646" s="2"/>
      <c r="B646" s="3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</row>
    <row r="647" spans="1:15" ht="15.75" customHeight="1" x14ac:dyDescent="0.35">
      <c r="A647" s="2"/>
      <c r="B647" s="3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</row>
    <row r="648" spans="1:15" ht="15.75" customHeight="1" x14ac:dyDescent="0.35">
      <c r="A648" s="2"/>
      <c r="B648" s="3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</row>
    <row r="649" spans="1:15" ht="15.75" customHeight="1" x14ac:dyDescent="0.35">
      <c r="A649" s="2"/>
      <c r="B649" s="3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</row>
    <row r="650" spans="1:15" ht="15.75" customHeight="1" x14ac:dyDescent="0.35">
      <c r="A650" s="2"/>
      <c r="B650" s="3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</row>
    <row r="651" spans="1:15" ht="15.75" customHeight="1" x14ac:dyDescent="0.35">
      <c r="A651" s="2"/>
      <c r="B651" s="3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</row>
    <row r="652" spans="1:15" ht="15.75" customHeight="1" x14ac:dyDescent="0.35">
      <c r="A652" s="2"/>
      <c r="B652" s="3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</row>
    <row r="653" spans="1:15" ht="15.75" customHeight="1" x14ac:dyDescent="0.35">
      <c r="A653" s="2"/>
      <c r="B653" s="3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</row>
    <row r="654" spans="1:15" ht="15.75" customHeight="1" x14ac:dyDescent="0.35">
      <c r="A654" s="2"/>
      <c r="B654" s="3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</row>
    <row r="655" spans="1:15" ht="15.75" customHeight="1" x14ac:dyDescent="0.35">
      <c r="A655" s="2"/>
      <c r="B655" s="3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</row>
    <row r="656" spans="1:15" ht="15.75" customHeight="1" x14ac:dyDescent="0.35">
      <c r="A656" s="2"/>
      <c r="B656" s="3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</row>
    <row r="657" spans="1:15" ht="15.75" customHeight="1" x14ac:dyDescent="0.35">
      <c r="A657" s="2"/>
      <c r="B657" s="3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</row>
    <row r="658" spans="1:15" ht="15.75" customHeight="1" x14ac:dyDescent="0.35">
      <c r="A658" s="2"/>
      <c r="B658" s="3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</row>
    <row r="659" spans="1:15" ht="15.75" customHeight="1" x14ac:dyDescent="0.35">
      <c r="A659" s="2"/>
      <c r="B659" s="3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</row>
    <row r="660" spans="1:15" ht="15.75" customHeight="1" x14ac:dyDescent="0.35">
      <c r="A660" s="2"/>
      <c r="B660" s="3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</row>
    <row r="661" spans="1:15" ht="15.75" customHeight="1" x14ac:dyDescent="0.35">
      <c r="A661" s="2"/>
      <c r="B661" s="3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</row>
    <row r="662" spans="1:15" ht="15.75" customHeight="1" x14ac:dyDescent="0.35">
      <c r="A662" s="2"/>
      <c r="B662" s="3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</row>
    <row r="663" spans="1:15" ht="15.75" customHeight="1" x14ac:dyDescent="0.35">
      <c r="A663" s="2"/>
      <c r="B663" s="3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</row>
    <row r="664" spans="1:15" ht="15.75" customHeight="1" x14ac:dyDescent="0.35">
      <c r="A664" s="2"/>
      <c r="B664" s="3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</row>
    <row r="665" spans="1:15" ht="15.75" customHeight="1" x14ac:dyDescent="0.35">
      <c r="A665" s="2"/>
      <c r="B665" s="3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</row>
    <row r="666" spans="1:15" ht="15.75" customHeight="1" x14ac:dyDescent="0.35">
      <c r="A666" s="2"/>
      <c r="B666" s="3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</row>
    <row r="667" spans="1:15" ht="15.75" customHeight="1" x14ac:dyDescent="0.35">
      <c r="A667" s="2"/>
      <c r="B667" s="3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</row>
    <row r="668" spans="1:15" ht="15.75" customHeight="1" x14ac:dyDescent="0.35">
      <c r="A668" s="2"/>
      <c r="B668" s="3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</row>
    <row r="669" spans="1:15" ht="15.75" customHeight="1" x14ac:dyDescent="0.35">
      <c r="A669" s="2"/>
      <c r="B669" s="3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</row>
    <row r="670" spans="1:15" ht="15.75" customHeight="1" x14ac:dyDescent="0.35">
      <c r="A670" s="2"/>
      <c r="B670" s="3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</row>
    <row r="671" spans="1:15" ht="15.75" customHeight="1" x14ac:dyDescent="0.35">
      <c r="A671" s="2"/>
      <c r="B671" s="3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</row>
    <row r="672" spans="1:15" ht="15.75" customHeight="1" x14ac:dyDescent="0.35">
      <c r="A672" s="2"/>
      <c r="B672" s="3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</row>
    <row r="673" spans="1:15" ht="15.75" customHeight="1" x14ac:dyDescent="0.35">
      <c r="A673" s="2"/>
      <c r="B673" s="3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</row>
    <row r="674" spans="1:15" ht="15.75" customHeight="1" x14ac:dyDescent="0.35">
      <c r="A674" s="2"/>
      <c r="B674" s="3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</row>
    <row r="675" spans="1:15" ht="15.75" customHeight="1" x14ac:dyDescent="0.35">
      <c r="A675" s="2"/>
      <c r="B675" s="3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</row>
    <row r="676" spans="1:15" ht="15.75" customHeight="1" x14ac:dyDescent="0.35">
      <c r="A676" s="2"/>
      <c r="B676" s="3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</row>
    <row r="677" spans="1:15" ht="15.75" customHeight="1" x14ac:dyDescent="0.35">
      <c r="A677" s="2"/>
      <c r="B677" s="3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</row>
    <row r="678" spans="1:15" ht="15.75" customHeight="1" x14ac:dyDescent="0.35">
      <c r="A678" s="2"/>
      <c r="B678" s="3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</row>
    <row r="679" spans="1:15" ht="15.75" customHeight="1" x14ac:dyDescent="0.35">
      <c r="A679" s="2"/>
      <c r="B679" s="3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</row>
    <row r="680" spans="1:15" ht="15.75" customHeight="1" x14ac:dyDescent="0.35">
      <c r="A680" s="2"/>
      <c r="B680" s="3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</row>
    <row r="681" spans="1:15" ht="15.75" customHeight="1" x14ac:dyDescent="0.35">
      <c r="A681" s="2"/>
      <c r="B681" s="3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</row>
    <row r="682" spans="1:15" ht="15.75" customHeight="1" x14ac:dyDescent="0.35">
      <c r="A682" s="2"/>
      <c r="B682" s="3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</row>
    <row r="683" spans="1:15" ht="15.75" customHeight="1" x14ac:dyDescent="0.35">
      <c r="A683" s="2"/>
      <c r="B683" s="3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</row>
    <row r="684" spans="1:15" ht="15.75" customHeight="1" x14ac:dyDescent="0.35">
      <c r="A684" s="2"/>
      <c r="B684" s="3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</row>
    <row r="685" spans="1:15" ht="15.75" customHeight="1" x14ac:dyDescent="0.35">
      <c r="A685" s="2"/>
      <c r="B685" s="3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</row>
    <row r="686" spans="1:15" ht="15.75" customHeight="1" x14ac:dyDescent="0.35">
      <c r="A686" s="2"/>
      <c r="B686" s="3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</row>
    <row r="687" spans="1:15" ht="15.75" customHeight="1" x14ac:dyDescent="0.35">
      <c r="A687" s="2"/>
      <c r="B687" s="3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</row>
    <row r="688" spans="1:15" ht="15.75" customHeight="1" x14ac:dyDescent="0.35">
      <c r="A688" s="2"/>
      <c r="B688" s="3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</row>
    <row r="689" spans="1:15" ht="15.75" customHeight="1" x14ac:dyDescent="0.35">
      <c r="A689" s="2"/>
      <c r="B689" s="3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</row>
    <row r="690" spans="1:15" ht="15.75" customHeight="1" x14ac:dyDescent="0.35">
      <c r="A690" s="2"/>
      <c r="B690" s="3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</row>
    <row r="691" spans="1:15" ht="15.75" customHeight="1" x14ac:dyDescent="0.35">
      <c r="A691" s="2"/>
      <c r="B691" s="3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</row>
    <row r="692" spans="1:15" ht="15.75" customHeight="1" x14ac:dyDescent="0.35">
      <c r="A692" s="2"/>
      <c r="B692" s="3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</row>
    <row r="693" spans="1:15" ht="15.75" customHeight="1" x14ac:dyDescent="0.35">
      <c r="A693" s="2"/>
      <c r="B693" s="3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</row>
    <row r="694" spans="1:15" ht="15.75" customHeight="1" x14ac:dyDescent="0.35">
      <c r="A694" s="2"/>
      <c r="B694" s="3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</row>
    <row r="695" spans="1:15" ht="15.75" customHeight="1" x14ac:dyDescent="0.35">
      <c r="A695" s="2"/>
      <c r="B695" s="3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</row>
    <row r="696" spans="1:15" ht="15.75" customHeight="1" x14ac:dyDescent="0.35">
      <c r="A696" s="2"/>
      <c r="B696" s="3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</row>
    <row r="697" spans="1:15" ht="15.75" customHeight="1" x14ac:dyDescent="0.35">
      <c r="A697" s="2"/>
      <c r="B697" s="3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</row>
    <row r="698" spans="1:15" ht="15.75" customHeight="1" x14ac:dyDescent="0.35">
      <c r="A698" s="2"/>
      <c r="B698" s="3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</row>
    <row r="699" spans="1:15" ht="15.75" customHeight="1" x14ac:dyDescent="0.35">
      <c r="A699" s="2"/>
      <c r="B699" s="3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</row>
    <row r="700" spans="1:15" ht="15.75" customHeight="1" x14ac:dyDescent="0.35">
      <c r="A700" s="2"/>
      <c r="B700" s="3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</row>
    <row r="701" spans="1:15" ht="15.75" customHeight="1" x14ac:dyDescent="0.35">
      <c r="A701" s="2"/>
      <c r="B701" s="3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</row>
    <row r="702" spans="1:15" ht="15.75" customHeight="1" x14ac:dyDescent="0.35">
      <c r="A702" s="2"/>
      <c r="B702" s="3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</row>
    <row r="703" spans="1:15" ht="15.75" customHeight="1" x14ac:dyDescent="0.35">
      <c r="A703" s="2"/>
      <c r="B703" s="3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</row>
    <row r="704" spans="1:15" ht="15.75" customHeight="1" x14ac:dyDescent="0.35">
      <c r="A704" s="2"/>
      <c r="B704" s="3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</row>
    <row r="705" spans="1:15" ht="15.75" customHeight="1" x14ac:dyDescent="0.35">
      <c r="A705" s="2"/>
      <c r="B705" s="3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</row>
    <row r="706" spans="1:15" ht="15.75" customHeight="1" x14ac:dyDescent="0.35">
      <c r="A706" s="2"/>
      <c r="B706" s="3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</row>
    <row r="707" spans="1:15" ht="15.75" customHeight="1" x14ac:dyDescent="0.35">
      <c r="A707" s="2"/>
      <c r="B707" s="3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</row>
    <row r="708" spans="1:15" ht="15.75" customHeight="1" x14ac:dyDescent="0.35">
      <c r="A708" s="2"/>
      <c r="B708" s="3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</row>
    <row r="709" spans="1:15" ht="15.75" customHeight="1" x14ac:dyDescent="0.35">
      <c r="A709" s="2"/>
      <c r="B709" s="3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</row>
    <row r="710" spans="1:15" ht="15.75" customHeight="1" x14ac:dyDescent="0.35">
      <c r="A710" s="2"/>
      <c r="B710" s="3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</row>
    <row r="711" spans="1:15" ht="15.75" customHeight="1" x14ac:dyDescent="0.35">
      <c r="A711" s="2"/>
      <c r="B711" s="3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</row>
    <row r="712" spans="1:15" ht="15.75" customHeight="1" x14ac:dyDescent="0.35">
      <c r="A712" s="2"/>
      <c r="B712" s="3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</row>
    <row r="713" spans="1:15" ht="15.75" customHeight="1" x14ac:dyDescent="0.35">
      <c r="A713" s="2"/>
      <c r="B713" s="3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</row>
    <row r="714" spans="1:15" ht="15.75" customHeight="1" x14ac:dyDescent="0.35">
      <c r="A714" s="2"/>
      <c r="B714" s="3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</row>
    <row r="715" spans="1:15" ht="15.75" customHeight="1" x14ac:dyDescent="0.35">
      <c r="A715" s="2"/>
      <c r="B715" s="3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</row>
    <row r="716" spans="1:15" ht="15.75" customHeight="1" x14ac:dyDescent="0.35">
      <c r="A716" s="2"/>
      <c r="B716" s="3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</row>
    <row r="717" spans="1:15" ht="15.75" customHeight="1" x14ac:dyDescent="0.35">
      <c r="A717" s="2"/>
      <c r="B717" s="3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</row>
    <row r="718" spans="1:15" ht="15.75" customHeight="1" x14ac:dyDescent="0.35">
      <c r="A718" s="2"/>
      <c r="B718" s="3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</row>
    <row r="719" spans="1:15" ht="15.75" customHeight="1" x14ac:dyDescent="0.35">
      <c r="A719" s="2"/>
      <c r="B719" s="3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</row>
    <row r="720" spans="1:15" ht="15.75" customHeight="1" x14ac:dyDescent="0.35">
      <c r="A720" s="2"/>
      <c r="B720" s="3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</row>
    <row r="721" spans="1:15" ht="15.75" customHeight="1" x14ac:dyDescent="0.35">
      <c r="A721" s="2"/>
      <c r="B721" s="3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</row>
    <row r="722" spans="1:15" ht="15.75" customHeight="1" x14ac:dyDescent="0.35">
      <c r="A722" s="2"/>
      <c r="B722" s="3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</row>
    <row r="723" spans="1:15" ht="15.75" customHeight="1" x14ac:dyDescent="0.35">
      <c r="A723" s="2"/>
      <c r="B723" s="3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</row>
    <row r="724" spans="1:15" ht="15.75" customHeight="1" x14ac:dyDescent="0.35">
      <c r="A724" s="2"/>
      <c r="B724" s="3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</row>
    <row r="725" spans="1:15" ht="15.75" customHeight="1" x14ac:dyDescent="0.35">
      <c r="A725" s="2"/>
      <c r="B725" s="3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</row>
    <row r="726" spans="1:15" ht="15.75" customHeight="1" x14ac:dyDescent="0.35">
      <c r="A726" s="2"/>
      <c r="B726" s="3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</row>
    <row r="727" spans="1:15" ht="15.75" customHeight="1" x14ac:dyDescent="0.35">
      <c r="A727" s="2"/>
      <c r="B727" s="3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</row>
    <row r="728" spans="1:15" ht="15.75" customHeight="1" x14ac:dyDescent="0.35">
      <c r="A728" s="2"/>
      <c r="B728" s="3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</row>
    <row r="729" spans="1:15" ht="15.75" customHeight="1" x14ac:dyDescent="0.35">
      <c r="A729" s="2"/>
      <c r="B729" s="3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</row>
    <row r="730" spans="1:15" ht="15.75" customHeight="1" x14ac:dyDescent="0.35">
      <c r="A730" s="2"/>
      <c r="B730" s="3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</row>
    <row r="731" spans="1:15" ht="15.75" customHeight="1" x14ac:dyDescent="0.35">
      <c r="A731" s="2"/>
      <c r="B731" s="3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</row>
    <row r="732" spans="1:15" ht="15.75" customHeight="1" x14ac:dyDescent="0.35">
      <c r="A732" s="2"/>
      <c r="B732" s="3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</row>
    <row r="733" spans="1:15" ht="15.75" customHeight="1" x14ac:dyDescent="0.35">
      <c r="A733" s="2"/>
      <c r="B733" s="3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</row>
    <row r="734" spans="1:15" ht="15.75" customHeight="1" x14ac:dyDescent="0.35">
      <c r="A734" s="2"/>
      <c r="B734" s="3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</row>
    <row r="735" spans="1:15" ht="15.75" customHeight="1" x14ac:dyDescent="0.35">
      <c r="A735" s="2"/>
      <c r="B735" s="3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</row>
    <row r="736" spans="1:15" ht="15.75" customHeight="1" x14ac:dyDescent="0.35">
      <c r="A736" s="2"/>
      <c r="B736" s="3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</row>
    <row r="737" spans="1:15" ht="15.75" customHeight="1" x14ac:dyDescent="0.35">
      <c r="A737" s="2"/>
      <c r="B737" s="3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</row>
    <row r="738" spans="1:15" ht="15.75" customHeight="1" x14ac:dyDescent="0.35">
      <c r="A738" s="2"/>
      <c r="B738" s="3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</row>
    <row r="739" spans="1:15" ht="15.75" customHeight="1" x14ac:dyDescent="0.35">
      <c r="A739" s="2"/>
      <c r="B739" s="3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</row>
    <row r="740" spans="1:15" ht="15.75" customHeight="1" x14ac:dyDescent="0.35">
      <c r="A740" s="2"/>
      <c r="B740" s="3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</row>
    <row r="741" spans="1:15" ht="15.75" customHeight="1" x14ac:dyDescent="0.35">
      <c r="A741" s="2"/>
      <c r="B741" s="3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</row>
    <row r="742" spans="1:15" ht="15.75" customHeight="1" x14ac:dyDescent="0.35">
      <c r="A742" s="2"/>
      <c r="B742" s="3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</row>
    <row r="743" spans="1:15" ht="15.75" customHeight="1" x14ac:dyDescent="0.35">
      <c r="A743" s="2"/>
      <c r="B743" s="3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</row>
    <row r="744" spans="1:15" ht="15.75" customHeight="1" x14ac:dyDescent="0.35">
      <c r="A744" s="2"/>
      <c r="B744" s="3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</row>
    <row r="745" spans="1:15" ht="15.75" customHeight="1" x14ac:dyDescent="0.35">
      <c r="A745" s="2"/>
      <c r="B745" s="3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</row>
    <row r="746" spans="1:15" ht="15.75" customHeight="1" x14ac:dyDescent="0.35">
      <c r="A746" s="2"/>
      <c r="B746" s="3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</row>
    <row r="747" spans="1:15" ht="15.75" customHeight="1" x14ac:dyDescent="0.35">
      <c r="A747" s="2"/>
      <c r="B747" s="3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</row>
    <row r="748" spans="1:15" ht="15.75" customHeight="1" x14ac:dyDescent="0.35">
      <c r="A748" s="2"/>
      <c r="B748" s="3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</row>
    <row r="749" spans="1:15" ht="15.75" customHeight="1" x14ac:dyDescent="0.35">
      <c r="A749" s="2"/>
      <c r="B749" s="3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</row>
    <row r="750" spans="1:15" ht="15.75" customHeight="1" x14ac:dyDescent="0.35">
      <c r="A750" s="2"/>
      <c r="B750" s="3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</row>
    <row r="751" spans="1:15" ht="15.75" customHeight="1" x14ac:dyDescent="0.35">
      <c r="A751" s="2"/>
      <c r="B751" s="3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</row>
    <row r="752" spans="1:15" ht="15.75" customHeight="1" x14ac:dyDescent="0.35">
      <c r="A752" s="2"/>
      <c r="B752" s="3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</row>
    <row r="753" spans="1:15" ht="15.75" customHeight="1" x14ac:dyDescent="0.35">
      <c r="A753" s="2"/>
      <c r="B753" s="3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</row>
    <row r="754" spans="1:15" ht="15.75" customHeight="1" x14ac:dyDescent="0.35">
      <c r="A754" s="2"/>
      <c r="B754" s="3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</row>
    <row r="755" spans="1:15" ht="15.75" customHeight="1" x14ac:dyDescent="0.35">
      <c r="A755" s="2"/>
      <c r="B755" s="3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</row>
    <row r="756" spans="1:15" ht="15.75" customHeight="1" x14ac:dyDescent="0.35">
      <c r="A756" s="2"/>
      <c r="B756" s="3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</row>
    <row r="757" spans="1:15" ht="15.75" customHeight="1" x14ac:dyDescent="0.35">
      <c r="A757" s="2"/>
      <c r="B757" s="3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</row>
    <row r="758" spans="1:15" ht="15.75" customHeight="1" x14ac:dyDescent="0.35">
      <c r="A758" s="2"/>
      <c r="B758" s="3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</row>
    <row r="759" spans="1:15" ht="15.75" customHeight="1" x14ac:dyDescent="0.35">
      <c r="A759" s="2"/>
      <c r="B759" s="3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</row>
    <row r="760" spans="1:15" ht="15.75" customHeight="1" x14ac:dyDescent="0.35">
      <c r="A760" s="2"/>
      <c r="B760" s="3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</row>
    <row r="761" spans="1:15" ht="15.75" customHeight="1" x14ac:dyDescent="0.35">
      <c r="A761" s="2"/>
      <c r="B761" s="3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</row>
    <row r="762" spans="1:15" ht="15.75" customHeight="1" x14ac:dyDescent="0.35">
      <c r="A762" s="2"/>
      <c r="B762" s="3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</row>
    <row r="763" spans="1:15" ht="15.75" customHeight="1" x14ac:dyDescent="0.35">
      <c r="A763" s="2"/>
      <c r="B763" s="3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</row>
    <row r="764" spans="1:15" ht="15.75" customHeight="1" x14ac:dyDescent="0.35">
      <c r="A764" s="2"/>
      <c r="B764" s="3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</row>
    <row r="765" spans="1:15" ht="15.75" customHeight="1" x14ac:dyDescent="0.35">
      <c r="A765" s="2"/>
      <c r="B765" s="3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</row>
    <row r="766" spans="1:15" ht="15.75" customHeight="1" x14ac:dyDescent="0.35">
      <c r="A766" s="2"/>
      <c r="B766" s="3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</row>
    <row r="767" spans="1:15" ht="15.75" customHeight="1" x14ac:dyDescent="0.35">
      <c r="A767" s="2"/>
      <c r="B767" s="3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</row>
    <row r="768" spans="1:15" ht="15.75" customHeight="1" x14ac:dyDescent="0.35">
      <c r="A768" s="2"/>
      <c r="B768" s="3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</row>
    <row r="769" spans="1:15" ht="15.75" customHeight="1" x14ac:dyDescent="0.35">
      <c r="A769" s="2"/>
      <c r="B769" s="3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</row>
    <row r="770" spans="1:15" ht="15.75" customHeight="1" x14ac:dyDescent="0.35">
      <c r="A770" s="2"/>
      <c r="B770" s="3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</row>
    <row r="771" spans="1:15" ht="15.75" customHeight="1" x14ac:dyDescent="0.35">
      <c r="A771" s="2"/>
      <c r="B771" s="3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</row>
    <row r="772" spans="1:15" ht="15.75" customHeight="1" x14ac:dyDescent="0.35">
      <c r="A772" s="2"/>
      <c r="B772" s="3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</row>
    <row r="773" spans="1:15" ht="15.75" customHeight="1" x14ac:dyDescent="0.35">
      <c r="A773" s="2"/>
      <c r="B773" s="3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</row>
    <row r="774" spans="1:15" ht="15.75" customHeight="1" x14ac:dyDescent="0.35">
      <c r="A774" s="2"/>
      <c r="B774" s="3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</row>
    <row r="775" spans="1:15" ht="15.75" customHeight="1" x14ac:dyDescent="0.35">
      <c r="A775" s="2"/>
      <c r="B775" s="3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</row>
    <row r="776" spans="1:15" ht="15.75" customHeight="1" x14ac:dyDescent="0.35">
      <c r="A776" s="2"/>
      <c r="B776" s="3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</row>
    <row r="777" spans="1:15" ht="15.75" customHeight="1" x14ac:dyDescent="0.35">
      <c r="A777" s="2"/>
      <c r="B777" s="3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</row>
    <row r="778" spans="1:15" ht="15.75" customHeight="1" x14ac:dyDescent="0.35">
      <c r="A778" s="2"/>
      <c r="B778" s="3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</row>
    <row r="779" spans="1:15" ht="15.75" customHeight="1" x14ac:dyDescent="0.35">
      <c r="A779" s="2"/>
      <c r="B779" s="3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</row>
    <row r="780" spans="1:15" ht="15.75" customHeight="1" x14ac:dyDescent="0.35">
      <c r="A780" s="2"/>
      <c r="B780" s="3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</row>
    <row r="781" spans="1:15" ht="15.75" customHeight="1" x14ac:dyDescent="0.35">
      <c r="A781" s="2"/>
      <c r="B781" s="3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</row>
    <row r="782" spans="1:15" ht="15.75" customHeight="1" x14ac:dyDescent="0.35">
      <c r="A782" s="2"/>
      <c r="B782" s="3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</row>
    <row r="783" spans="1:15" ht="15.75" customHeight="1" x14ac:dyDescent="0.35">
      <c r="A783" s="2"/>
      <c r="B783" s="3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</row>
    <row r="784" spans="1:15" ht="15.75" customHeight="1" x14ac:dyDescent="0.35">
      <c r="A784" s="2"/>
      <c r="B784" s="3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</row>
    <row r="785" spans="1:15" ht="15.75" customHeight="1" x14ac:dyDescent="0.35">
      <c r="A785" s="2"/>
      <c r="B785" s="3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</row>
    <row r="786" spans="1:15" ht="15.75" customHeight="1" x14ac:dyDescent="0.35">
      <c r="A786" s="2"/>
      <c r="B786" s="3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</row>
    <row r="787" spans="1:15" ht="15.75" customHeight="1" x14ac:dyDescent="0.35">
      <c r="A787" s="2"/>
      <c r="B787" s="3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</row>
    <row r="788" spans="1:15" ht="15.75" customHeight="1" x14ac:dyDescent="0.35">
      <c r="A788" s="2"/>
      <c r="B788" s="3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</row>
    <row r="789" spans="1:15" ht="15.75" customHeight="1" x14ac:dyDescent="0.35">
      <c r="A789" s="2"/>
      <c r="B789" s="3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</row>
    <row r="790" spans="1:15" ht="15.75" customHeight="1" x14ac:dyDescent="0.35">
      <c r="A790" s="2"/>
      <c r="B790" s="3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</row>
    <row r="791" spans="1:15" ht="15.75" customHeight="1" x14ac:dyDescent="0.35">
      <c r="A791" s="2"/>
      <c r="B791" s="3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</row>
    <row r="792" spans="1:15" ht="15.75" customHeight="1" x14ac:dyDescent="0.35">
      <c r="A792" s="2"/>
      <c r="B792" s="3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</row>
    <row r="793" spans="1:15" ht="15.75" customHeight="1" x14ac:dyDescent="0.35">
      <c r="A793" s="2"/>
      <c r="B793" s="3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</row>
    <row r="794" spans="1:15" ht="15.75" customHeight="1" x14ac:dyDescent="0.35">
      <c r="A794" s="2"/>
      <c r="B794" s="3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</row>
    <row r="795" spans="1:15" ht="15.75" customHeight="1" x14ac:dyDescent="0.35">
      <c r="A795" s="2"/>
      <c r="B795" s="3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</row>
    <row r="796" spans="1:15" ht="15.75" customHeight="1" x14ac:dyDescent="0.35">
      <c r="A796" s="2"/>
      <c r="B796" s="3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</row>
    <row r="797" spans="1:15" ht="15.75" customHeight="1" x14ac:dyDescent="0.35">
      <c r="A797" s="2"/>
      <c r="B797" s="3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</row>
    <row r="798" spans="1:15" ht="15.75" customHeight="1" x14ac:dyDescent="0.35">
      <c r="A798" s="2"/>
      <c r="B798" s="3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</row>
    <row r="799" spans="1:15" ht="15.75" customHeight="1" x14ac:dyDescent="0.35">
      <c r="A799" s="2"/>
      <c r="B799" s="3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</row>
    <row r="800" spans="1:15" ht="15.75" customHeight="1" x14ac:dyDescent="0.35">
      <c r="A800" s="2"/>
      <c r="B800" s="3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</row>
    <row r="801" spans="1:15" ht="15.75" customHeight="1" x14ac:dyDescent="0.35">
      <c r="A801" s="2"/>
      <c r="B801" s="3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</row>
    <row r="802" spans="1:15" ht="15.75" customHeight="1" x14ac:dyDescent="0.35">
      <c r="A802" s="2"/>
      <c r="B802" s="3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</row>
    <row r="803" spans="1:15" ht="15.75" customHeight="1" x14ac:dyDescent="0.35">
      <c r="A803" s="2"/>
      <c r="B803" s="3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</row>
    <row r="804" spans="1:15" ht="15.75" customHeight="1" x14ac:dyDescent="0.35">
      <c r="A804" s="2"/>
      <c r="B804" s="3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</row>
    <row r="805" spans="1:15" ht="15.75" customHeight="1" x14ac:dyDescent="0.35">
      <c r="A805" s="2"/>
      <c r="B805" s="3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</row>
    <row r="806" spans="1:15" ht="15.75" customHeight="1" x14ac:dyDescent="0.35">
      <c r="A806" s="2"/>
      <c r="B806" s="3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</row>
    <row r="807" spans="1:15" ht="15.75" customHeight="1" x14ac:dyDescent="0.35">
      <c r="A807" s="2"/>
      <c r="B807" s="3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</row>
    <row r="808" spans="1:15" ht="15.75" customHeight="1" x14ac:dyDescent="0.35">
      <c r="A808" s="2"/>
      <c r="B808" s="3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</row>
    <row r="809" spans="1:15" ht="15.75" customHeight="1" x14ac:dyDescent="0.35">
      <c r="A809" s="2"/>
      <c r="B809" s="3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</row>
    <row r="810" spans="1:15" ht="15.75" customHeight="1" x14ac:dyDescent="0.35">
      <c r="A810" s="2"/>
      <c r="B810" s="3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</row>
    <row r="811" spans="1:15" ht="15.75" customHeight="1" x14ac:dyDescent="0.35">
      <c r="A811" s="2"/>
      <c r="B811" s="3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</row>
    <row r="812" spans="1:15" ht="15.75" customHeight="1" x14ac:dyDescent="0.35">
      <c r="A812" s="2"/>
      <c r="B812" s="3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</row>
    <row r="813" spans="1:15" ht="15.75" customHeight="1" x14ac:dyDescent="0.35">
      <c r="A813" s="2"/>
      <c r="B813" s="3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</row>
    <row r="814" spans="1:15" ht="15.75" customHeight="1" x14ac:dyDescent="0.35">
      <c r="A814" s="2"/>
      <c r="B814" s="3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</row>
    <row r="815" spans="1:15" ht="15.75" customHeight="1" x14ac:dyDescent="0.35">
      <c r="A815" s="2"/>
      <c r="B815" s="3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</row>
    <row r="816" spans="1:15" ht="15.75" customHeight="1" x14ac:dyDescent="0.35">
      <c r="A816" s="2"/>
      <c r="B816" s="3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</row>
    <row r="817" spans="1:15" ht="15.75" customHeight="1" x14ac:dyDescent="0.35">
      <c r="A817" s="2"/>
      <c r="B817" s="3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</row>
    <row r="818" spans="1:15" ht="15.75" customHeight="1" x14ac:dyDescent="0.35">
      <c r="A818" s="2"/>
      <c r="B818" s="3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</row>
    <row r="819" spans="1:15" ht="15.75" customHeight="1" x14ac:dyDescent="0.35">
      <c r="A819" s="2"/>
      <c r="B819" s="3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</row>
    <row r="820" spans="1:15" ht="15.75" customHeight="1" x14ac:dyDescent="0.35">
      <c r="A820" s="2"/>
      <c r="B820" s="3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</row>
    <row r="821" spans="1:15" ht="15.75" customHeight="1" x14ac:dyDescent="0.35">
      <c r="A821" s="2"/>
      <c r="B821" s="3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</row>
    <row r="822" spans="1:15" ht="15.75" customHeight="1" x14ac:dyDescent="0.35">
      <c r="A822" s="2"/>
      <c r="B822" s="3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</row>
    <row r="823" spans="1:15" ht="15.75" customHeight="1" x14ac:dyDescent="0.35">
      <c r="A823" s="2"/>
      <c r="B823" s="3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</row>
    <row r="824" spans="1:15" ht="15.75" customHeight="1" x14ac:dyDescent="0.35">
      <c r="A824" s="2"/>
      <c r="B824" s="3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</row>
    <row r="825" spans="1:15" ht="15.75" customHeight="1" x14ac:dyDescent="0.35">
      <c r="A825" s="2"/>
      <c r="B825" s="3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</row>
    <row r="826" spans="1:15" ht="15.75" customHeight="1" x14ac:dyDescent="0.35">
      <c r="A826" s="2"/>
      <c r="B826" s="3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</row>
    <row r="827" spans="1:15" ht="15.75" customHeight="1" x14ac:dyDescent="0.35">
      <c r="A827" s="2"/>
      <c r="B827" s="3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</row>
    <row r="828" spans="1:15" ht="15.75" customHeight="1" x14ac:dyDescent="0.35">
      <c r="A828" s="2"/>
      <c r="B828" s="3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</row>
    <row r="829" spans="1:15" ht="15.75" customHeight="1" x14ac:dyDescent="0.35">
      <c r="A829" s="2"/>
      <c r="B829" s="3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</row>
    <row r="830" spans="1:15" ht="15.75" customHeight="1" x14ac:dyDescent="0.35">
      <c r="A830" s="2"/>
      <c r="B830" s="3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</row>
    <row r="831" spans="1:15" ht="15.75" customHeight="1" x14ac:dyDescent="0.35">
      <c r="A831" s="2"/>
      <c r="B831" s="3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</row>
    <row r="832" spans="1:15" ht="15.75" customHeight="1" x14ac:dyDescent="0.35">
      <c r="A832" s="2"/>
      <c r="B832" s="3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</row>
    <row r="833" spans="1:15" ht="15.75" customHeight="1" x14ac:dyDescent="0.35">
      <c r="A833" s="2"/>
      <c r="B833" s="3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</row>
    <row r="834" spans="1:15" ht="15.75" customHeight="1" x14ac:dyDescent="0.35">
      <c r="A834" s="2"/>
      <c r="B834" s="3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</row>
    <row r="835" spans="1:15" ht="15.75" customHeight="1" x14ac:dyDescent="0.35">
      <c r="A835" s="2"/>
      <c r="B835" s="3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</row>
    <row r="836" spans="1:15" ht="15.75" customHeight="1" x14ac:dyDescent="0.35">
      <c r="A836" s="2"/>
      <c r="B836" s="3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</row>
    <row r="837" spans="1:15" ht="15.75" customHeight="1" x14ac:dyDescent="0.35">
      <c r="A837" s="2"/>
      <c r="B837" s="3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</row>
    <row r="838" spans="1:15" ht="15.75" customHeight="1" x14ac:dyDescent="0.35">
      <c r="A838" s="2"/>
      <c r="B838" s="3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</row>
    <row r="839" spans="1:15" ht="15.75" customHeight="1" x14ac:dyDescent="0.35">
      <c r="A839" s="2"/>
      <c r="B839" s="3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</row>
    <row r="840" spans="1:15" ht="15.75" customHeight="1" x14ac:dyDescent="0.35">
      <c r="A840" s="2"/>
      <c r="B840" s="3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</row>
    <row r="841" spans="1:15" ht="15.75" customHeight="1" x14ac:dyDescent="0.35">
      <c r="A841" s="2"/>
      <c r="B841" s="3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</row>
    <row r="842" spans="1:15" ht="15.75" customHeight="1" x14ac:dyDescent="0.35">
      <c r="A842" s="2"/>
      <c r="B842" s="3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</row>
    <row r="843" spans="1:15" ht="15.75" customHeight="1" x14ac:dyDescent="0.35">
      <c r="A843" s="2"/>
      <c r="B843" s="3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</row>
    <row r="844" spans="1:15" ht="15.75" customHeight="1" x14ac:dyDescent="0.35">
      <c r="A844" s="2"/>
      <c r="B844" s="3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</row>
    <row r="845" spans="1:15" ht="15.75" customHeight="1" x14ac:dyDescent="0.35">
      <c r="A845" s="2"/>
      <c r="B845" s="3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</row>
    <row r="846" spans="1:15" ht="15.75" customHeight="1" x14ac:dyDescent="0.35">
      <c r="A846" s="2"/>
      <c r="B846" s="3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</row>
    <row r="847" spans="1:15" ht="15.75" customHeight="1" x14ac:dyDescent="0.35">
      <c r="A847" s="2"/>
      <c r="B847" s="3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</row>
    <row r="848" spans="1:15" ht="15.75" customHeight="1" x14ac:dyDescent="0.35">
      <c r="A848" s="2"/>
      <c r="B848" s="3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</row>
    <row r="849" spans="1:15" ht="15.75" customHeight="1" x14ac:dyDescent="0.35">
      <c r="A849" s="2"/>
      <c r="B849" s="3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</row>
    <row r="850" spans="1:15" ht="15.75" customHeight="1" x14ac:dyDescent="0.35">
      <c r="A850" s="2"/>
      <c r="B850" s="3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</row>
    <row r="851" spans="1:15" ht="15.75" customHeight="1" x14ac:dyDescent="0.35">
      <c r="A851" s="2"/>
      <c r="B851" s="3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</row>
    <row r="852" spans="1:15" ht="15.75" customHeight="1" x14ac:dyDescent="0.35">
      <c r="A852" s="2"/>
      <c r="B852" s="3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</row>
    <row r="853" spans="1:15" ht="15.75" customHeight="1" x14ac:dyDescent="0.35">
      <c r="A853" s="2"/>
      <c r="B853" s="3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</row>
    <row r="854" spans="1:15" ht="15.75" customHeight="1" x14ac:dyDescent="0.35">
      <c r="A854" s="2"/>
      <c r="B854" s="3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</row>
    <row r="855" spans="1:15" ht="15.75" customHeight="1" x14ac:dyDescent="0.35">
      <c r="A855" s="2"/>
      <c r="B855" s="3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</row>
    <row r="856" spans="1:15" ht="15.75" customHeight="1" x14ac:dyDescent="0.35">
      <c r="A856" s="2"/>
      <c r="B856" s="3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</row>
    <row r="857" spans="1:15" ht="15.75" customHeight="1" x14ac:dyDescent="0.35">
      <c r="A857" s="2"/>
      <c r="B857" s="3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</row>
    <row r="858" spans="1:15" ht="15.75" customHeight="1" x14ac:dyDescent="0.35">
      <c r="A858" s="2"/>
      <c r="B858" s="3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</row>
    <row r="859" spans="1:15" ht="15.75" customHeight="1" x14ac:dyDescent="0.35">
      <c r="A859" s="2"/>
      <c r="B859" s="3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</row>
    <row r="860" spans="1:15" ht="15.75" customHeight="1" x14ac:dyDescent="0.35">
      <c r="A860" s="2"/>
      <c r="B860" s="3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</row>
    <row r="861" spans="1:15" ht="15.75" customHeight="1" x14ac:dyDescent="0.35">
      <c r="A861" s="2"/>
      <c r="B861" s="3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</row>
    <row r="862" spans="1:15" ht="15.75" customHeight="1" x14ac:dyDescent="0.35">
      <c r="A862" s="2"/>
      <c r="B862" s="3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</row>
    <row r="863" spans="1:15" ht="15.75" customHeight="1" x14ac:dyDescent="0.35">
      <c r="A863" s="2"/>
      <c r="B863" s="3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</row>
    <row r="864" spans="1:15" ht="15.75" customHeight="1" x14ac:dyDescent="0.35">
      <c r="A864" s="2"/>
      <c r="B864" s="3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</row>
    <row r="865" spans="1:15" ht="15.75" customHeight="1" x14ac:dyDescent="0.35">
      <c r="A865" s="2"/>
      <c r="B865" s="3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</row>
    <row r="866" spans="1:15" ht="15.75" customHeight="1" x14ac:dyDescent="0.35">
      <c r="A866" s="2"/>
      <c r="B866" s="3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</row>
    <row r="867" spans="1:15" ht="15.75" customHeight="1" x14ac:dyDescent="0.35">
      <c r="A867" s="2"/>
      <c r="B867" s="3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</row>
    <row r="868" spans="1:15" ht="15.75" customHeight="1" x14ac:dyDescent="0.35">
      <c r="A868" s="2"/>
      <c r="B868" s="3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</row>
    <row r="869" spans="1:15" ht="15.75" customHeight="1" x14ac:dyDescent="0.35">
      <c r="A869" s="2"/>
      <c r="B869" s="3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</row>
    <row r="870" spans="1:15" ht="15.75" customHeight="1" x14ac:dyDescent="0.35">
      <c r="A870" s="2"/>
      <c r="B870" s="3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</row>
    <row r="871" spans="1:15" ht="15.75" customHeight="1" x14ac:dyDescent="0.35">
      <c r="A871" s="2"/>
      <c r="B871" s="3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</row>
    <row r="872" spans="1:15" ht="15.75" customHeight="1" x14ac:dyDescent="0.35">
      <c r="A872" s="2"/>
      <c r="B872" s="3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</row>
    <row r="873" spans="1:15" ht="15.75" customHeight="1" x14ac:dyDescent="0.35">
      <c r="A873" s="2"/>
      <c r="B873" s="3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</row>
    <row r="874" spans="1:15" ht="15.75" customHeight="1" x14ac:dyDescent="0.35">
      <c r="A874" s="2"/>
      <c r="B874" s="3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</row>
    <row r="875" spans="1:15" ht="15.75" customHeight="1" x14ac:dyDescent="0.35">
      <c r="A875" s="2"/>
      <c r="B875" s="3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</row>
    <row r="876" spans="1:15" ht="15.75" customHeight="1" x14ac:dyDescent="0.35">
      <c r="A876" s="2"/>
      <c r="B876" s="3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</row>
    <row r="877" spans="1:15" ht="15.75" customHeight="1" x14ac:dyDescent="0.35">
      <c r="A877" s="2"/>
      <c r="B877" s="3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</row>
    <row r="878" spans="1:15" ht="15.75" customHeight="1" x14ac:dyDescent="0.35">
      <c r="A878" s="2"/>
      <c r="B878" s="3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</row>
    <row r="879" spans="1:15" ht="15.75" customHeight="1" x14ac:dyDescent="0.35">
      <c r="A879" s="2"/>
      <c r="B879" s="3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</row>
    <row r="880" spans="1:15" ht="15.75" customHeight="1" x14ac:dyDescent="0.35">
      <c r="A880" s="2"/>
      <c r="B880" s="3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</row>
    <row r="881" spans="1:15" ht="15.75" customHeight="1" x14ac:dyDescent="0.35">
      <c r="A881" s="2"/>
      <c r="B881" s="3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</row>
    <row r="882" spans="1:15" ht="15.75" customHeight="1" x14ac:dyDescent="0.35">
      <c r="A882" s="2"/>
      <c r="B882" s="3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</row>
    <row r="883" spans="1:15" ht="15.75" customHeight="1" x14ac:dyDescent="0.35">
      <c r="A883" s="2"/>
      <c r="B883" s="3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</row>
    <row r="884" spans="1:15" ht="15.75" customHeight="1" x14ac:dyDescent="0.35">
      <c r="A884" s="2"/>
      <c r="B884" s="3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</row>
    <row r="885" spans="1:15" ht="15.75" customHeight="1" x14ac:dyDescent="0.35">
      <c r="A885" s="2"/>
      <c r="B885" s="3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</row>
    <row r="886" spans="1:15" ht="15.75" customHeight="1" x14ac:dyDescent="0.35">
      <c r="A886" s="2"/>
      <c r="B886" s="3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</row>
    <row r="887" spans="1:15" ht="15.75" customHeight="1" x14ac:dyDescent="0.35">
      <c r="A887" s="2"/>
      <c r="B887" s="3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</row>
    <row r="888" spans="1:15" ht="15.75" customHeight="1" x14ac:dyDescent="0.35">
      <c r="A888" s="2"/>
      <c r="B888" s="3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</row>
    <row r="889" spans="1:15" ht="15.75" customHeight="1" x14ac:dyDescent="0.35">
      <c r="A889" s="2"/>
      <c r="B889" s="3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</row>
    <row r="890" spans="1:15" ht="15.75" customHeight="1" x14ac:dyDescent="0.35">
      <c r="A890" s="2"/>
      <c r="B890" s="3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</row>
    <row r="891" spans="1:15" ht="15.75" customHeight="1" x14ac:dyDescent="0.35">
      <c r="A891" s="2"/>
      <c r="B891" s="3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</row>
    <row r="892" spans="1:15" ht="15.75" customHeight="1" x14ac:dyDescent="0.35">
      <c r="A892" s="2"/>
      <c r="B892" s="3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</row>
    <row r="893" spans="1:15" ht="15.75" customHeight="1" x14ac:dyDescent="0.35">
      <c r="A893" s="2"/>
      <c r="B893" s="3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</row>
    <row r="894" spans="1:15" ht="15.75" customHeight="1" x14ac:dyDescent="0.35">
      <c r="A894" s="2"/>
      <c r="B894" s="3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</row>
    <row r="895" spans="1:15" ht="15.75" customHeight="1" x14ac:dyDescent="0.35">
      <c r="A895" s="2"/>
      <c r="B895" s="3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</row>
    <row r="896" spans="1:15" ht="15.75" customHeight="1" x14ac:dyDescent="0.35">
      <c r="A896" s="2"/>
      <c r="B896" s="3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</row>
    <row r="897" spans="1:15" ht="15.75" customHeight="1" x14ac:dyDescent="0.35">
      <c r="A897" s="2"/>
      <c r="B897" s="3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</row>
    <row r="898" spans="1:15" ht="15.75" customHeight="1" x14ac:dyDescent="0.35">
      <c r="A898" s="2"/>
      <c r="B898" s="3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</row>
    <row r="899" spans="1:15" ht="15.75" customHeight="1" x14ac:dyDescent="0.35">
      <c r="A899" s="2"/>
      <c r="B899" s="3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</row>
    <row r="900" spans="1:15" ht="15.75" customHeight="1" x14ac:dyDescent="0.35">
      <c r="A900" s="2"/>
      <c r="B900" s="3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</row>
    <row r="901" spans="1:15" ht="15.75" customHeight="1" x14ac:dyDescent="0.35">
      <c r="A901" s="2"/>
      <c r="B901" s="3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</row>
    <row r="902" spans="1:15" ht="15.75" customHeight="1" x14ac:dyDescent="0.35">
      <c r="A902" s="2"/>
      <c r="B902" s="3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</row>
    <row r="903" spans="1:15" ht="15.75" customHeight="1" x14ac:dyDescent="0.35">
      <c r="A903" s="2"/>
      <c r="B903" s="3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</row>
    <row r="904" spans="1:15" ht="15.75" customHeight="1" x14ac:dyDescent="0.35">
      <c r="A904" s="2"/>
      <c r="B904" s="3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</row>
    <row r="905" spans="1:15" ht="15.75" customHeight="1" x14ac:dyDescent="0.35">
      <c r="A905" s="2"/>
      <c r="B905" s="3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</row>
    <row r="906" spans="1:15" ht="15.75" customHeight="1" x14ac:dyDescent="0.35">
      <c r="A906" s="2"/>
      <c r="B906" s="3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</row>
    <row r="907" spans="1:15" ht="15.75" customHeight="1" x14ac:dyDescent="0.35">
      <c r="A907" s="2"/>
      <c r="B907" s="3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</row>
    <row r="908" spans="1:15" ht="15.75" customHeight="1" x14ac:dyDescent="0.35">
      <c r="A908" s="2"/>
      <c r="B908" s="3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</row>
    <row r="909" spans="1:15" ht="15.75" customHeight="1" x14ac:dyDescent="0.35">
      <c r="A909" s="2"/>
      <c r="B909" s="3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</row>
    <row r="910" spans="1:15" ht="15.75" customHeight="1" x14ac:dyDescent="0.35">
      <c r="A910" s="2"/>
      <c r="B910" s="3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</row>
    <row r="911" spans="1:15" ht="15.75" customHeight="1" x14ac:dyDescent="0.35">
      <c r="A911" s="2"/>
      <c r="B911" s="3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</row>
    <row r="912" spans="1:15" ht="15.75" customHeight="1" x14ac:dyDescent="0.35">
      <c r="A912" s="2"/>
      <c r="B912" s="3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</row>
    <row r="913" spans="1:15" ht="15.75" customHeight="1" x14ac:dyDescent="0.35">
      <c r="A913" s="2"/>
      <c r="B913" s="3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</row>
    <row r="914" spans="1:15" ht="15.75" customHeight="1" x14ac:dyDescent="0.35">
      <c r="A914" s="2"/>
      <c r="B914" s="3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</row>
    <row r="915" spans="1:15" ht="15.75" customHeight="1" x14ac:dyDescent="0.35">
      <c r="A915" s="2"/>
      <c r="B915" s="3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</row>
    <row r="916" spans="1:15" ht="15.75" customHeight="1" x14ac:dyDescent="0.35">
      <c r="A916" s="2"/>
      <c r="B916" s="3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</row>
    <row r="917" spans="1:15" ht="15.75" customHeight="1" x14ac:dyDescent="0.35">
      <c r="A917" s="2"/>
      <c r="B917" s="3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</row>
    <row r="918" spans="1:15" ht="15.75" customHeight="1" x14ac:dyDescent="0.35">
      <c r="A918" s="2"/>
      <c r="B918" s="3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</row>
    <row r="919" spans="1:15" ht="15.75" customHeight="1" x14ac:dyDescent="0.35">
      <c r="A919" s="2"/>
      <c r="B919" s="3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</row>
    <row r="920" spans="1:15" ht="15.75" customHeight="1" x14ac:dyDescent="0.35">
      <c r="A920" s="2"/>
      <c r="B920" s="3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</row>
    <row r="921" spans="1:15" ht="15.75" customHeight="1" x14ac:dyDescent="0.35">
      <c r="A921" s="2"/>
      <c r="B921" s="3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</row>
    <row r="922" spans="1:15" ht="15.75" customHeight="1" x14ac:dyDescent="0.35">
      <c r="A922" s="2"/>
      <c r="B922" s="3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</row>
    <row r="923" spans="1:15" ht="15.75" customHeight="1" x14ac:dyDescent="0.35">
      <c r="A923" s="2"/>
      <c r="B923" s="3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</row>
    <row r="924" spans="1:15" ht="15.75" customHeight="1" x14ac:dyDescent="0.35">
      <c r="A924" s="2"/>
      <c r="B924" s="3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</row>
    <row r="925" spans="1:15" ht="15.75" customHeight="1" x14ac:dyDescent="0.35">
      <c r="A925" s="2"/>
      <c r="B925" s="3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</row>
    <row r="926" spans="1:15" ht="15.75" customHeight="1" x14ac:dyDescent="0.35">
      <c r="A926" s="2"/>
      <c r="B926" s="3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</row>
    <row r="927" spans="1:15" ht="15.75" customHeight="1" x14ac:dyDescent="0.35">
      <c r="A927" s="2"/>
      <c r="B927" s="3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</row>
    <row r="928" spans="1:15" ht="15.75" customHeight="1" x14ac:dyDescent="0.35">
      <c r="A928" s="2"/>
      <c r="B928" s="3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</row>
    <row r="929" spans="1:15" ht="15.75" customHeight="1" x14ac:dyDescent="0.35">
      <c r="A929" s="2"/>
      <c r="B929" s="3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</row>
    <row r="930" spans="1:15" ht="15.75" customHeight="1" x14ac:dyDescent="0.35">
      <c r="A930" s="2"/>
      <c r="B930" s="3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</row>
    <row r="931" spans="1:15" ht="15.75" customHeight="1" x14ac:dyDescent="0.35">
      <c r="A931" s="2"/>
      <c r="B931" s="3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</row>
    <row r="932" spans="1:15" ht="15.75" customHeight="1" x14ac:dyDescent="0.35">
      <c r="A932" s="2"/>
      <c r="B932" s="3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</row>
    <row r="933" spans="1:15" ht="15.75" customHeight="1" x14ac:dyDescent="0.35">
      <c r="A933" s="2"/>
      <c r="B933" s="3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</row>
    <row r="934" spans="1:15" ht="15.75" customHeight="1" x14ac:dyDescent="0.35">
      <c r="A934" s="2"/>
      <c r="B934" s="3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</row>
    <row r="935" spans="1:15" ht="15.75" customHeight="1" x14ac:dyDescent="0.35">
      <c r="A935" s="2"/>
      <c r="B935" s="3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</row>
    <row r="936" spans="1:15" ht="15.75" customHeight="1" x14ac:dyDescent="0.35">
      <c r="A936" s="2"/>
      <c r="B936" s="3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</row>
    <row r="937" spans="1:15" ht="15.75" customHeight="1" x14ac:dyDescent="0.35">
      <c r="A937" s="2"/>
      <c r="B937" s="3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</row>
    <row r="938" spans="1:15" ht="15.75" customHeight="1" x14ac:dyDescent="0.35">
      <c r="A938" s="2"/>
      <c r="B938" s="3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</row>
    <row r="939" spans="1:15" ht="15.75" customHeight="1" x14ac:dyDescent="0.35">
      <c r="A939" s="2"/>
      <c r="B939" s="3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</row>
    <row r="940" spans="1:15" ht="15.75" customHeight="1" x14ac:dyDescent="0.35">
      <c r="A940" s="2"/>
      <c r="B940" s="3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</row>
    <row r="941" spans="1:15" ht="15.75" customHeight="1" x14ac:dyDescent="0.35">
      <c r="A941" s="2"/>
      <c r="B941" s="3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</row>
    <row r="942" spans="1:15" ht="15.75" customHeight="1" x14ac:dyDescent="0.35">
      <c r="A942" s="2"/>
      <c r="B942" s="3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</row>
    <row r="943" spans="1:15" ht="15.75" customHeight="1" x14ac:dyDescent="0.35">
      <c r="A943" s="2"/>
      <c r="B943" s="3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</row>
    <row r="944" spans="1:15" ht="15.75" customHeight="1" x14ac:dyDescent="0.35">
      <c r="A944" s="2"/>
      <c r="B944" s="3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</row>
    <row r="945" spans="1:15" ht="15.75" customHeight="1" x14ac:dyDescent="0.35">
      <c r="A945" s="2"/>
      <c r="B945" s="3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</row>
    <row r="946" spans="1:15" ht="15.75" customHeight="1" x14ac:dyDescent="0.35">
      <c r="A946" s="2"/>
      <c r="B946" s="3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</row>
    <row r="947" spans="1:15" ht="15.75" customHeight="1" x14ac:dyDescent="0.35">
      <c r="A947" s="2"/>
      <c r="B947" s="3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</row>
    <row r="948" spans="1:15" ht="15.75" customHeight="1" x14ac:dyDescent="0.35">
      <c r="A948" s="2"/>
      <c r="B948" s="3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</row>
    <row r="949" spans="1:15" ht="15.75" customHeight="1" x14ac:dyDescent="0.35">
      <c r="A949" s="2"/>
      <c r="B949" s="3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</row>
    <row r="950" spans="1:15" ht="15.75" customHeight="1" x14ac:dyDescent="0.35">
      <c r="A950" s="2"/>
      <c r="B950" s="3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</row>
    <row r="951" spans="1:15" ht="15.75" customHeight="1" x14ac:dyDescent="0.35">
      <c r="A951" s="2"/>
      <c r="B951" s="3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</row>
    <row r="952" spans="1:15" ht="15.75" customHeight="1" x14ac:dyDescent="0.35">
      <c r="A952" s="2"/>
      <c r="B952" s="3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</row>
    <row r="953" spans="1:15" ht="15.75" customHeight="1" x14ac:dyDescent="0.35">
      <c r="A953" s="2"/>
      <c r="B953" s="3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</row>
    <row r="954" spans="1:15" ht="15.75" customHeight="1" x14ac:dyDescent="0.35">
      <c r="A954" s="2"/>
      <c r="B954" s="3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</row>
    <row r="955" spans="1:15" ht="15.75" customHeight="1" x14ac:dyDescent="0.35">
      <c r="A955" s="2"/>
      <c r="B955" s="3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</row>
    <row r="956" spans="1:15" ht="15.75" customHeight="1" x14ac:dyDescent="0.35">
      <c r="A956" s="2"/>
      <c r="B956" s="3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</row>
    <row r="957" spans="1:15" ht="15.75" customHeight="1" x14ac:dyDescent="0.35">
      <c r="A957" s="2"/>
      <c r="B957" s="3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</row>
    <row r="958" spans="1:15" ht="15.75" customHeight="1" x14ac:dyDescent="0.35">
      <c r="A958" s="2"/>
      <c r="B958" s="3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</row>
    <row r="959" spans="1:15" ht="15.75" customHeight="1" x14ac:dyDescent="0.35">
      <c r="A959" s="2"/>
      <c r="B959" s="3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</row>
    <row r="960" spans="1:15" ht="15.75" customHeight="1" x14ac:dyDescent="0.35">
      <c r="A960" s="2"/>
      <c r="B960" s="3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</row>
    <row r="961" spans="1:15" ht="15.75" customHeight="1" x14ac:dyDescent="0.35">
      <c r="A961" s="2"/>
      <c r="B961" s="3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</row>
    <row r="962" spans="1:15" ht="15.75" customHeight="1" x14ac:dyDescent="0.35">
      <c r="A962" s="2"/>
      <c r="B962" s="3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</row>
    <row r="963" spans="1:15" ht="15.75" customHeight="1" x14ac:dyDescent="0.35">
      <c r="A963" s="2"/>
      <c r="B963" s="3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</row>
    <row r="964" spans="1:15" ht="15.75" customHeight="1" x14ac:dyDescent="0.35">
      <c r="A964" s="2"/>
      <c r="B964" s="3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</row>
    <row r="965" spans="1:15" ht="15.75" customHeight="1" x14ac:dyDescent="0.35">
      <c r="A965" s="2"/>
      <c r="B965" s="3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</row>
    <row r="966" spans="1:15" ht="15.75" customHeight="1" x14ac:dyDescent="0.35">
      <c r="A966" s="2"/>
      <c r="B966" s="3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</row>
    <row r="967" spans="1:15" ht="15.75" customHeight="1" x14ac:dyDescent="0.35">
      <c r="A967" s="2"/>
      <c r="B967" s="3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</row>
    <row r="968" spans="1:15" ht="15.75" customHeight="1" x14ac:dyDescent="0.35">
      <c r="A968" s="2"/>
      <c r="B968" s="3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</row>
    <row r="969" spans="1:15" ht="15.75" customHeight="1" x14ac:dyDescent="0.35">
      <c r="A969" s="2"/>
      <c r="B969" s="3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</row>
    <row r="970" spans="1:15" ht="15.75" customHeight="1" x14ac:dyDescent="0.35">
      <c r="A970" s="2"/>
      <c r="B970" s="3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</row>
    <row r="971" spans="1:15" ht="15.75" customHeight="1" x14ac:dyDescent="0.35">
      <c r="A971" s="2"/>
      <c r="B971" s="3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</row>
    <row r="972" spans="1:15" ht="15.75" customHeight="1" x14ac:dyDescent="0.35">
      <c r="A972" s="2"/>
      <c r="B972" s="3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</row>
    <row r="973" spans="1:15" ht="15.75" customHeight="1" x14ac:dyDescent="0.35">
      <c r="A973" s="2"/>
      <c r="B973" s="3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</row>
    <row r="974" spans="1:15" ht="15.75" customHeight="1" x14ac:dyDescent="0.35">
      <c r="A974" s="2"/>
      <c r="B974" s="3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</row>
    <row r="975" spans="1:15" ht="15.75" customHeight="1" x14ac:dyDescent="0.35">
      <c r="A975" s="2"/>
      <c r="B975" s="3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</row>
    <row r="976" spans="1:15" ht="15.75" customHeight="1" x14ac:dyDescent="0.35">
      <c r="A976" s="2"/>
      <c r="B976" s="3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</row>
    <row r="977" spans="1:15" ht="15.75" customHeight="1" x14ac:dyDescent="0.35">
      <c r="A977" s="2"/>
      <c r="B977" s="3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</row>
    <row r="978" spans="1:15" ht="15.75" customHeight="1" x14ac:dyDescent="0.35">
      <c r="A978" s="2"/>
      <c r="B978" s="3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</row>
    <row r="979" spans="1:15" ht="15.75" customHeight="1" x14ac:dyDescent="0.35">
      <c r="A979" s="2"/>
      <c r="B979" s="3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</row>
    <row r="980" spans="1:15" ht="15.75" customHeight="1" x14ac:dyDescent="0.35">
      <c r="A980" s="2"/>
      <c r="B980" s="3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</row>
    <row r="981" spans="1:15" ht="15.75" customHeight="1" x14ac:dyDescent="0.35">
      <c r="A981" s="2"/>
      <c r="B981" s="3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</row>
    <row r="982" spans="1:15" ht="15.75" customHeight="1" x14ac:dyDescent="0.35">
      <c r="A982" s="2"/>
      <c r="B982" s="3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</row>
    <row r="983" spans="1:15" ht="15.75" customHeight="1" x14ac:dyDescent="0.35">
      <c r="A983" s="2"/>
      <c r="B983" s="3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</row>
    <row r="984" spans="1:15" ht="15.75" customHeight="1" x14ac:dyDescent="0.35">
      <c r="A984" s="2"/>
      <c r="B984" s="3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</row>
    <row r="985" spans="1:15" ht="15.75" customHeight="1" x14ac:dyDescent="0.35">
      <c r="A985" s="2"/>
      <c r="B985" s="3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</row>
    <row r="986" spans="1:15" ht="15.75" customHeight="1" x14ac:dyDescent="0.35">
      <c r="A986" s="2"/>
      <c r="B986" s="3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</row>
    <row r="987" spans="1:15" ht="15.75" customHeight="1" x14ac:dyDescent="0.35">
      <c r="A987" s="2"/>
      <c r="B987" s="3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</row>
    <row r="988" spans="1:15" ht="15.75" customHeight="1" x14ac:dyDescent="0.35">
      <c r="A988" s="2"/>
      <c r="B988" s="3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</row>
    <row r="989" spans="1:15" ht="15.75" customHeight="1" x14ac:dyDescent="0.35">
      <c r="A989" s="2"/>
      <c r="B989" s="3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</row>
    <row r="990" spans="1:15" ht="15.75" customHeight="1" x14ac:dyDescent="0.35">
      <c r="A990" s="2"/>
      <c r="B990" s="3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</row>
    <row r="991" spans="1:15" ht="15.75" customHeight="1" x14ac:dyDescent="0.35">
      <c r="A991" s="2"/>
      <c r="B991" s="3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</row>
    <row r="992" spans="1:15" ht="15.75" customHeight="1" x14ac:dyDescent="0.35">
      <c r="A992" s="2"/>
      <c r="B992" s="3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</row>
    <row r="993" spans="1:15" ht="15.75" customHeight="1" x14ac:dyDescent="0.35">
      <c r="A993" s="2"/>
      <c r="B993" s="3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</row>
    <row r="994" spans="1:15" ht="15.75" customHeight="1" x14ac:dyDescent="0.35">
      <c r="A994" s="2"/>
      <c r="B994" s="3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</row>
    <row r="995" spans="1:15" ht="15.75" customHeight="1" x14ac:dyDescent="0.35">
      <c r="A995" s="2"/>
      <c r="B995" s="3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</row>
    <row r="996" spans="1:15" ht="15.75" customHeight="1" x14ac:dyDescent="0.35">
      <c r="A996" s="2"/>
      <c r="B996" s="3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</row>
    <row r="997" spans="1:15" ht="15.75" customHeight="1" x14ac:dyDescent="0.35">
      <c r="A997" s="2"/>
      <c r="B997" s="3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</row>
    <row r="998" spans="1:15" ht="15.75" customHeight="1" x14ac:dyDescent="0.35">
      <c r="A998" s="2"/>
      <c r="B998" s="3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</row>
    <row r="999" spans="1:15" ht="15.75" customHeight="1" x14ac:dyDescent="0.35">
      <c r="A999" s="2"/>
      <c r="B999" s="3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</row>
    <row r="1000" spans="1:15" ht="15.75" customHeight="1" x14ac:dyDescent="0.35">
      <c r="A1000" s="2"/>
      <c r="B1000" s="3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</row>
  </sheetData>
  <mergeCells count="9">
    <mergeCell ref="H1:L1"/>
    <mergeCell ref="M1:O1"/>
    <mergeCell ref="A1:A2"/>
    <mergeCell ref="B1:B2"/>
    <mergeCell ref="C1:C2"/>
    <mergeCell ref="D1:D2"/>
    <mergeCell ref="E1:E2"/>
    <mergeCell ref="F1:F2"/>
    <mergeCell ref="G1:G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U1000"/>
  <sheetViews>
    <sheetView workbookViewId="0">
      <selection activeCell="G21" sqref="G21"/>
    </sheetView>
  </sheetViews>
  <sheetFormatPr defaultColWidth="14.453125" defaultRowHeight="15" customHeight="1" x14ac:dyDescent="0.35"/>
  <cols>
    <col min="3" max="3" width="23.26953125" bestFit="1" customWidth="1"/>
    <col min="6" max="6" width="18.90625" bestFit="1" customWidth="1"/>
    <col min="7" max="7" width="18.81640625" bestFit="1" customWidth="1"/>
  </cols>
  <sheetData>
    <row r="1" spans="1:21" x14ac:dyDescent="0.35">
      <c r="A1" s="6" t="s">
        <v>2</v>
      </c>
      <c r="B1" s="6" t="s">
        <v>347</v>
      </c>
      <c r="C1" s="6" t="s">
        <v>3</v>
      </c>
      <c r="D1" s="6" t="s">
        <v>348</v>
      </c>
      <c r="E1" s="6" t="s">
        <v>349</v>
      </c>
      <c r="F1" s="6" t="s">
        <v>350</v>
      </c>
      <c r="G1" s="6" t="s">
        <v>351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idden="1" x14ac:dyDescent="0.35">
      <c r="A2" s="7" t="s">
        <v>291</v>
      </c>
      <c r="B2" s="7" t="s">
        <v>290</v>
      </c>
      <c r="C2" s="7" t="s">
        <v>65</v>
      </c>
      <c r="D2" s="7" t="s">
        <v>352</v>
      </c>
      <c r="E2" s="7" t="s">
        <v>353</v>
      </c>
      <c r="F2" s="7" t="s">
        <v>354</v>
      </c>
      <c r="G2" s="7">
        <v>2201.7199999999998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idden="1" x14ac:dyDescent="0.35">
      <c r="A3" s="7" t="s">
        <v>165</v>
      </c>
      <c r="B3" s="7" t="s">
        <v>164</v>
      </c>
      <c r="C3" s="7" t="s">
        <v>19</v>
      </c>
      <c r="D3" s="7" t="s">
        <v>355</v>
      </c>
      <c r="E3" s="7" t="s">
        <v>356</v>
      </c>
      <c r="F3" s="7" t="s">
        <v>357</v>
      </c>
      <c r="G3" s="7">
        <v>26701.67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x14ac:dyDescent="0.35">
      <c r="A4" s="7" t="s">
        <v>269</v>
      </c>
      <c r="B4" s="7" t="s">
        <v>268</v>
      </c>
      <c r="C4" s="7" t="s">
        <v>98</v>
      </c>
      <c r="D4" s="7" t="s">
        <v>358</v>
      </c>
      <c r="E4" s="7" t="s">
        <v>353</v>
      </c>
      <c r="F4" s="7" t="s">
        <v>357</v>
      </c>
      <c r="G4" s="7">
        <v>17620.740000000002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x14ac:dyDescent="0.35">
      <c r="A5" s="7" t="s">
        <v>227</v>
      </c>
      <c r="B5" s="7" t="s">
        <v>226</v>
      </c>
      <c r="C5" s="7" t="s">
        <v>98</v>
      </c>
      <c r="D5" s="7" t="s">
        <v>177</v>
      </c>
      <c r="E5" s="7" t="s">
        <v>353</v>
      </c>
      <c r="F5" s="7" t="s">
        <v>359</v>
      </c>
      <c r="G5" s="7">
        <v>10118.61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idden="1" x14ac:dyDescent="0.35">
      <c r="A6" s="7" t="s">
        <v>235</v>
      </c>
      <c r="B6" s="7" t="s">
        <v>234</v>
      </c>
      <c r="C6" s="7" t="s">
        <v>93</v>
      </c>
      <c r="D6" s="7"/>
      <c r="E6" s="7" t="s">
        <v>353</v>
      </c>
      <c r="F6" s="7" t="s">
        <v>360</v>
      </c>
      <c r="G6" s="7">
        <v>33386.19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idden="1" x14ac:dyDescent="0.35">
      <c r="A7" s="7" t="s">
        <v>153</v>
      </c>
      <c r="B7" s="7" t="s">
        <v>152</v>
      </c>
      <c r="C7" s="7" t="s">
        <v>40</v>
      </c>
      <c r="D7" s="7" t="s">
        <v>361</v>
      </c>
      <c r="E7" s="7" t="s">
        <v>353</v>
      </c>
      <c r="F7" s="7" t="s">
        <v>357</v>
      </c>
      <c r="G7" s="7">
        <v>30431.19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idden="1" x14ac:dyDescent="0.35">
      <c r="A8" s="7" t="s">
        <v>213</v>
      </c>
      <c r="B8" s="7" t="s">
        <v>212</v>
      </c>
      <c r="C8" s="7" t="s">
        <v>65</v>
      </c>
      <c r="D8" s="7" t="s">
        <v>362</v>
      </c>
      <c r="E8" s="7" t="s">
        <v>353</v>
      </c>
      <c r="F8" s="7" t="s">
        <v>357</v>
      </c>
      <c r="G8" s="7">
        <v>22823.18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idden="1" x14ac:dyDescent="0.35">
      <c r="A9" s="7" t="s">
        <v>64</v>
      </c>
      <c r="B9" s="7" t="s">
        <v>63</v>
      </c>
      <c r="C9" s="7" t="s">
        <v>65</v>
      </c>
      <c r="D9" s="7" t="s">
        <v>363</v>
      </c>
      <c r="E9" s="7" t="s">
        <v>356</v>
      </c>
      <c r="F9" s="7" t="s">
        <v>360</v>
      </c>
      <c r="G9" s="7">
        <v>72111.179999999993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idden="1" x14ac:dyDescent="0.35">
      <c r="A10" s="7" t="s">
        <v>58</v>
      </c>
      <c r="B10" s="7" t="s">
        <v>57</v>
      </c>
      <c r="C10" s="7" t="s">
        <v>19</v>
      </c>
      <c r="D10" s="7" t="s">
        <v>364</v>
      </c>
      <c r="E10" s="7" t="s">
        <v>356</v>
      </c>
      <c r="F10" s="7" t="s">
        <v>360</v>
      </c>
      <c r="G10" s="7">
        <v>73911.44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idden="1" x14ac:dyDescent="0.35">
      <c r="A11" s="7" t="s">
        <v>175</v>
      </c>
      <c r="B11" s="7" t="s">
        <v>174</v>
      </c>
      <c r="C11" s="7" t="s">
        <v>65</v>
      </c>
      <c r="D11" s="7" t="s">
        <v>362</v>
      </c>
      <c r="E11" s="7" t="s">
        <v>353</v>
      </c>
      <c r="F11" s="7" t="s">
        <v>357</v>
      </c>
      <c r="G11" s="7">
        <v>25089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idden="1" x14ac:dyDescent="0.35">
      <c r="A12" s="7" t="s">
        <v>173</v>
      </c>
      <c r="B12" s="7" t="s">
        <v>172</v>
      </c>
      <c r="C12" s="7" t="s">
        <v>105</v>
      </c>
      <c r="D12" s="7"/>
      <c r="E12" s="7" t="s">
        <v>353</v>
      </c>
      <c r="F12" s="7" t="s">
        <v>360</v>
      </c>
      <c r="G12" s="7">
        <v>66941.240000000005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idden="1" x14ac:dyDescent="0.35">
      <c r="A13" s="7" t="s">
        <v>225</v>
      </c>
      <c r="B13" s="7" t="s">
        <v>224</v>
      </c>
      <c r="C13" s="7" t="s">
        <v>65</v>
      </c>
      <c r="D13" s="7" t="s">
        <v>352</v>
      </c>
      <c r="E13" s="7" t="s">
        <v>353</v>
      </c>
      <c r="F13" s="7" t="s">
        <v>359</v>
      </c>
      <c r="G13" s="7">
        <v>9646.77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idden="1" x14ac:dyDescent="0.35">
      <c r="A14" s="7" t="s">
        <v>221</v>
      </c>
      <c r="B14" s="7" t="s">
        <v>220</v>
      </c>
      <c r="C14" s="7" t="s">
        <v>93</v>
      </c>
      <c r="D14" s="7"/>
      <c r="E14" s="7" t="s">
        <v>353</v>
      </c>
      <c r="F14" s="7" t="s">
        <v>360</v>
      </c>
      <c r="G14" s="7">
        <v>24822.53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idden="1" x14ac:dyDescent="0.35">
      <c r="A15" s="7" t="s">
        <v>245</v>
      </c>
      <c r="B15" s="7" t="s">
        <v>244</v>
      </c>
      <c r="C15" s="7" t="s">
        <v>19</v>
      </c>
      <c r="D15" s="7" t="s">
        <v>365</v>
      </c>
      <c r="E15" s="7" t="s">
        <v>356</v>
      </c>
      <c r="F15" s="7" t="s">
        <v>357</v>
      </c>
      <c r="G15" s="7">
        <v>33010.33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idden="1" x14ac:dyDescent="0.35">
      <c r="A16" s="7" t="s">
        <v>50</v>
      </c>
      <c r="B16" s="7" t="s">
        <v>49</v>
      </c>
      <c r="C16" s="7" t="s">
        <v>19</v>
      </c>
      <c r="D16" s="7" t="s">
        <v>364</v>
      </c>
      <c r="E16" s="7" t="s">
        <v>356</v>
      </c>
      <c r="F16" s="7" t="s">
        <v>360</v>
      </c>
      <c r="G16" s="7">
        <v>73514.48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21" hidden="1" x14ac:dyDescent="0.35">
      <c r="A17" s="7" t="s">
        <v>233</v>
      </c>
      <c r="B17" s="7" t="s">
        <v>232</v>
      </c>
      <c r="C17" s="7" t="s">
        <v>93</v>
      </c>
      <c r="D17" s="7"/>
      <c r="E17" s="7" t="s">
        <v>353</v>
      </c>
      <c r="F17" s="7" t="s">
        <v>357</v>
      </c>
      <c r="G17" s="7">
        <v>14346.52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r="18" spans="1:21" x14ac:dyDescent="0.35">
      <c r="A18" s="7" t="s">
        <v>141</v>
      </c>
      <c r="B18" s="7" t="s">
        <v>140</v>
      </c>
      <c r="C18" s="7" t="s">
        <v>98</v>
      </c>
      <c r="D18" s="7" t="s">
        <v>366</v>
      </c>
      <c r="E18" s="7" t="s">
        <v>353</v>
      </c>
      <c r="F18" s="7" t="s">
        <v>359</v>
      </c>
      <c r="G18" s="7">
        <v>4434.5600000000004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r="19" spans="1:21" hidden="1" x14ac:dyDescent="0.35">
      <c r="A19" s="7" t="s">
        <v>205</v>
      </c>
      <c r="B19" s="7" t="s">
        <v>204</v>
      </c>
      <c r="C19" s="7" t="s">
        <v>65</v>
      </c>
      <c r="D19" s="7" t="s">
        <v>352</v>
      </c>
      <c r="E19" s="7" t="s">
        <v>353</v>
      </c>
      <c r="F19" s="7" t="s">
        <v>359</v>
      </c>
      <c r="G19" s="7">
        <v>16215.15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r="20" spans="1:21" hidden="1" x14ac:dyDescent="0.35">
      <c r="A20" s="7" t="s">
        <v>239</v>
      </c>
      <c r="B20" s="7" t="s">
        <v>238</v>
      </c>
      <c r="C20" s="7" t="s">
        <v>40</v>
      </c>
      <c r="D20" s="7" t="s">
        <v>361</v>
      </c>
      <c r="E20" s="7" t="s">
        <v>353</v>
      </c>
      <c r="F20" s="7" t="s">
        <v>359</v>
      </c>
      <c r="G20" s="7">
        <v>12877.64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r="21" spans="1:21" x14ac:dyDescent="0.35">
      <c r="A21" s="7" t="s">
        <v>207</v>
      </c>
      <c r="B21" s="7" t="s">
        <v>206</v>
      </c>
      <c r="C21" s="7" t="s">
        <v>98</v>
      </c>
      <c r="D21" s="7" t="s">
        <v>177</v>
      </c>
      <c r="E21" s="7" t="s">
        <v>353</v>
      </c>
      <c r="F21" s="7" t="s">
        <v>357</v>
      </c>
      <c r="G21" s="7">
        <v>20538.13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r="22" spans="1:21" hidden="1" x14ac:dyDescent="0.35">
      <c r="A22" s="7" t="s">
        <v>39</v>
      </c>
      <c r="B22" s="7" t="s">
        <v>38</v>
      </c>
      <c r="C22" s="7" t="s">
        <v>40</v>
      </c>
      <c r="D22" s="7" t="s">
        <v>361</v>
      </c>
      <c r="E22" s="7" t="s">
        <v>353</v>
      </c>
      <c r="F22" s="7" t="s">
        <v>357</v>
      </c>
      <c r="G22" s="7">
        <v>22338.48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r="23" spans="1:21" hidden="1" x14ac:dyDescent="0.35">
      <c r="A23" s="7" t="s">
        <v>48</v>
      </c>
      <c r="B23" s="7" t="s">
        <v>47</v>
      </c>
      <c r="C23" s="7" t="s">
        <v>19</v>
      </c>
      <c r="D23" s="7" t="s">
        <v>355</v>
      </c>
      <c r="E23" s="7" t="s">
        <v>356</v>
      </c>
      <c r="F23" s="7" t="s">
        <v>360</v>
      </c>
      <c r="G23" s="7">
        <v>41969.45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r="24" spans="1:21" x14ac:dyDescent="0.35">
      <c r="A24" s="7" t="s">
        <v>265</v>
      </c>
      <c r="B24" s="7" t="s">
        <v>264</v>
      </c>
      <c r="C24" s="7" t="s">
        <v>98</v>
      </c>
      <c r="D24" s="7" t="s">
        <v>366</v>
      </c>
      <c r="E24" s="7" t="s">
        <v>353</v>
      </c>
      <c r="F24" s="7" t="s">
        <v>354</v>
      </c>
      <c r="G24" s="7">
        <v>2895.89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 spans="1:21" x14ac:dyDescent="0.35">
      <c r="A25" s="7" t="s">
        <v>287</v>
      </c>
      <c r="B25" s="7" t="s">
        <v>286</v>
      </c>
      <c r="C25" s="7" t="s">
        <v>98</v>
      </c>
      <c r="D25" s="7" t="s">
        <v>367</v>
      </c>
      <c r="E25" s="7" t="s">
        <v>353</v>
      </c>
      <c r="F25" s="7" t="s">
        <v>354</v>
      </c>
      <c r="G25" s="7">
        <v>1194.95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 spans="1:21" hidden="1" x14ac:dyDescent="0.35">
      <c r="A26" s="7" t="s">
        <v>201</v>
      </c>
      <c r="B26" s="7" t="s">
        <v>200</v>
      </c>
      <c r="C26" s="7" t="s">
        <v>65</v>
      </c>
      <c r="D26" s="7" t="s">
        <v>368</v>
      </c>
      <c r="E26" s="7" t="s">
        <v>353</v>
      </c>
      <c r="F26" s="7" t="s">
        <v>359</v>
      </c>
      <c r="G26" s="7">
        <v>7966.87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r="27" spans="1:21" x14ac:dyDescent="0.35">
      <c r="A27" s="7" t="s">
        <v>261</v>
      </c>
      <c r="B27" s="7" t="s">
        <v>260</v>
      </c>
      <c r="C27" s="7" t="s">
        <v>98</v>
      </c>
      <c r="D27" s="7" t="s">
        <v>369</v>
      </c>
      <c r="E27" s="7" t="s">
        <v>353</v>
      </c>
      <c r="F27" s="7" t="s">
        <v>359</v>
      </c>
      <c r="G27" s="7">
        <v>5588.99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spans="1:21" hidden="1" x14ac:dyDescent="0.35">
      <c r="A28" s="7" t="s">
        <v>69</v>
      </c>
      <c r="B28" s="7" t="s">
        <v>68</v>
      </c>
      <c r="C28" s="7" t="s">
        <v>70</v>
      </c>
      <c r="D28" s="7"/>
      <c r="E28" s="7" t="s">
        <v>356</v>
      </c>
      <c r="F28" s="7" t="s">
        <v>360</v>
      </c>
      <c r="G28" s="7">
        <v>64610.38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r="29" spans="1:21" x14ac:dyDescent="0.35">
      <c r="A29" s="7" t="s">
        <v>281</v>
      </c>
      <c r="B29" s="7" t="s">
        <v>280</v>
      </c>
      <c r="C29" s="7" t="s">
        <v>98</v>
      </c>
      <c r="D29" s="7" t="s">
        <v>369</v>
      </c>
      <c r="E29" s="7" t="s">
        <v>353</v>
      </c>
      <c r="F29" s="7" t="s">
        <v>354</v>
      </c>
      <c r="G29" s="7">
        <v>1263.0999999999999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</row>
    <row r="30" spans="1:21" x14ac:dyDescent="0.35">
      <c r="A30" s="7" t="s">
        <v>289</v>
      </c>
      <c r="B30" s="7" t="s">
        <v>288</v>
      </c>
      <c r="C30" s="7" t="s">
        <v>98</v>
      </c>
      <c r="D30" s="7" t="s">
        <v>369</v>
      </c>
      <c r="E30" s="7" t="s">
        <v>353</v>
      </c>
      <c r="F30" s="7" t="s">
        <v>354</v>
      </c>
      <c r="G30" s="7">
        <v>2742.66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</row>
    <row r="31" spans="1:21" hidden="1" x14ac:dyDescent="0.35">
      <c r="A31" s="7" t="s">
        <v>46</v>
      </c>
      <c r="B31" s="7" t="s">
        <v>45</v>
      </c>
      <c r="C31" s="7" t="s">
        <v>40</v>
      </c>
      <c r="D31" s="7" t="s">
        <v>361</v>
      </c>
      <c r="E31" s="7" t="s">
        <v>353</v>
      </c>
      <c r="F31" s="7" t="s">
        <v>360</v>
      </c>
      <c r="G31" s="7">
        <v>36181.160000000003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</row>
    <row r="32" spans="1:21" hidden="1" x14ac:dyDescent="0.35">
      <c r="A32" s="7" t="s">
        <v>107</v>
      </c>
      <c r="B32" s="7" t="s">
        <v>106</v>
      </c>
      <c r="C32" s="7" t="s">
        <v>65</v>
      </c>
      <c r="D32" s="7" t="s">
        <v>370</v>
      </c>
      <c r="E32" s="7" t="s">
        <v>353</v>
      </c>
      <c r="F32" s="7" t="s">
        <v>357</v>
      </c>
      <c r="G32" s="7">
        <v>27104.87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</row>
    <row r="33" spans="1:21" hidden="1" x14ac:dyDescent="0.35">
      <c r="A33" s="7" t="s">
        <v>109</v>
      </c>
      <c r="B33" s="7" t="s">
        <v>108</v>
      </c>
      <c r="C33" s="7" t="s">
        <v>65</v>
      </c>
      <c r="D33" s="7" t="s">
        <v>370</v>
      </c>
      <c r="E33" s="7" t="s">
        <v>353</v>
      </c>
      <c r="F33" s="7" t="s">
        <v>360</v>
      </c>
      <c r="G33" s="7">
        <v>75195.990000000005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r="34" spans="1:21" hidden="1" x14ac:dyDescent="0.35">
      <c r="A34" s="7" t="s">
        <v>72</v>
      </c>
      <c r="B34" s="7" t="s">
        <v>71</v>
      </c>
      <c r="C34" s="7" t="s">
        <v>40</v>
      </c>
      <c r="D34" s="7" t="s">
        <v>361</v>
      </c>
      <c r="E34" s="7" t="s">
        <v>353</v>
      </c>
      <c r="F34" s="7" t="s">
        <v>357</v>
      </c>
      <c r="G34" s="7">
        <v>22349.439999999999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</row>
    <row r="35" spans="1:21" x14ac:dyDescent="0.35">
      <c r="A35" s="7" t="s">
        <v>285</v>
      </c>
      <c r="B35" s="7" t="s">
        <v>284</v>
      </c>
      <c r="C35" s="7" t="s">
        <v>98</v>
      </c>
      <c r="D35" s="7" t="s">
        <v>369</v>
      </c>
      <c r="E35" s="7" t="s">
        <v>353</v>
      </c>
      <c r="F35" s="7" t="s">
        <v>359</v>
      </c>
      <c r="G35" s="7">
        <v>7026.36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idden="1" x14ac:dyDescent="0.35">
      <c r="A36" s="7" t="s">
        <v>76</v>
      </c>
      <c r="B36" s="7" t="s">
        <v>75</v>
      </c>
      <c r="C36" s="7" t="s">
        <v>40</v>
      </c>
      <c r="D36" s="7" t="s">
        <v>371</v>
      </c>
      <c r="E36" s="7" t="s">
        <v>353</v>
      </c>
      <c r="F36" s="7" t="s">
        <v>360</v>
      </c>
      <c r="G36" s="7">
        <v>31106.76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x14ac:dyDescent="0.35">
      <c r="A37" s="7" t="s">
        <v>151</v>
      </c>
      <c r="B37" s="7" t="s">
        <v>150</v>
      </c>
      <c r="C37" s="7" t="s">
        <v>98</v>
      </c>
      <c r="D37" s="7" t="s">
        <v>366</v>
      </c>
      <c r="E37" s="7" t="s">
        <v>353</v>
      </c>
      <c r="F37" s="7" t="s">
        <v>359</v>
      </c>
      <c r="G37" s="7">
        <v>7669.23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 spans="1:21" hidden="1" x14ac:dyDescent="0.35">
      <c r="A38" s="7" t="s">
        <v>90</v>
      </c>
      <c r="B38" s="7" t="s">
        <v>89</v>
      </c>
      <c r="C38" s="7" t="s">
        <v>19</v>
      </c>
      <c r="D38" s="7" t="s">
        <v>355</v>
      </c>
      <c r="E38" s="7" t="s">
        <v>356</v>
      </c>
      <c r="F38" s="7" t="s">
        <v>360</v>
      </c>
      <c r="G38" s="7">
        <v>49550.79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x14ac:dyDescent="0.35">
      <c r="A39" s="7" t="s">
        <v>279</v>
      </c>
      <c r="B39" s="7" t="s">
        <v>278</v>
      </c>
      <c r="C39" s="7" t="s">
        <v>98</v>
      </c>
      <c r="D39" s="7" t="s">
        <v>369</v>
      </c>
      <c r="E39" s="7" t="s">
        <v>353</v>
      </c>
      <c r="F39" s="7" t="s">
        <v>354</v>
      </c>
      <c r="G39" s="7">
        <v>1821.05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  <row r="40" spans="1:21" hidden="1" x14ac:dyDescent="0.35">
      <c r="A40" s="7" t="s">
        <v>92</v>
      </c>
      <c r="B40" s="7" t="s">
        <v>91</v>
      </c>
      <c r="C40" s="7" t="s">
        <v>93</v>
      </c>
      <c r="D40" s="7"/>
      <c r="E40" s="7" t="s">
        <v>353</v>
      </c>
      <c r="F40" s="7" t="s">
        <v>357</v>
      </c>
      <c r="G40" s="7">
        <v>27541.66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</row>
    <row r="41" spans="1:21" hidden="1" x14ac:dyDescent="0.35">
      <c r="A41" s="7" t="s">
        <v>215</v>
      </c>
      <c r="B41" s="7" t="s">
        <v>214</v>
      </c>
      <c r="C41" s="7" t="s">
        <v>40</v>
      </c>
      <c r="D41" s="7" t="s">
        <v>361</v>
      </c>
      <c r="E41" s="7" t="s">
        <v>353</v>
      </c>
      <c r="F41" s="7" t="s">
        <v>357</v>
      </c>
      <c r="G41" s="7">
        <v>15840.27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</row>
    <row r="42" spans="1:21" x14ac:dyDescent="0.35">
      <c r="A42" s="7" t="s">
        <v>119</v>
      </c>
      <c r="B42" s="7" t="s">
        <v>118</v>
      </c>
      <c r="C42" s="7" t="s">
        <v>98</v>
      </c>
      <c r="D42" s="7" t="s">
        <v>358</v>
      </c>
      <c r="E42" s="7" t="s">
        <v>353</v>
      </c>
      <c r="F42" s="7" t="s">
        <v>359</v>
      </c>
      <c r="G42" s="7">
        <v>19094.14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 spans="1:21" hidden="1" x14ac:dyDescent="0.35">
      <c r="A43" s="7" t="s">
        <v>145</v>
      </c>
      <c r="B43" s="7" t="s">
        <v>144</v>
      </c>
      <c r="C43" s="7" t="s">
        <v>40</v>
      </c>
      <c r="D43" s="7" t="s">
        <v>371</v>
      </c>
      <c r="E43" s="7" t="s">
        <v>353</v>
      </c>
      <c r="F43" s="7" t="s">
        <v>357</v>
      </c>
      <c r="G43" s="7">
        <v>13264.03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</row>
    <row r="44" spans="1:21" hidden="1" x14ac:dyDescent="0.35">
      <c r="A44" s="7" t="s">
        <v>37</v>
      </c>
      <c r="B44" s="7" t="s">
        <v>36</v>
      </c>
      <c r="C44" s="7" t="s">
        <v>19</v>
      </c>
      <c r="D44" s="7" t="s">
        <v>372</v>
      </c>
      <c r="E44" s="7" t="s">
        <v>356</v>
      </c>
      <c r="F44" s="7" t="s">
        <v>360</v>
      </c>
      <c r="G44" s="7">
        <v>49968.71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 spans="1:21" x14ac:dyDescent="0.35">
      <c r="A45" s="7" t="s">
        <v>169</v>
      </c>
      <c r="B45" s="7" t="s">
        <v>168</v>
      </c>
      <c r="C45" s="7" t="s">
        <v>98</v>
      </c>
      <c r="D45" s="7" t="s">
        <v>367</v>
      </c>
      <c r="E45" s="7" t="s">
        <v>353</v>
      </c>
      <c r="F45" s="7" t="s">
        <v>354</v>
      </c>
      <c r="G45" s="7">
        <v>3287.53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</row>
    <row r="46" spans="1:21" hidden="1" x14ac:dyDescent="0.35">
      <c r="A46" s="7" t="s">
        <v>25</v>
      </c>
      <c r="B46" s="7" t="s">
        <v>24</v>
      </c>
      <c r="C46" s="7" t="s">
        <v>19</v>
      </c>
      <c r="D46" s="7" t="s">
        <v>364</v>
      </c>
      <c r="E46" s="7" t="s">
        <v>356</v>
      </c>
      <c r="F46" s="7" t="s">
        <v>360</v>
      </c>
      <c r="G46" s="7">
        <v>62556.92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x14ac:dyDescent="0.35">
      <c r="A47" s="7" t="s">
        <v>183</v>
      </c>
      <c r="B47" s="7" t="s">
        <v>182</v>
      </c>
      <c r="C47" s="7" t="s">
        <v>98</v>
      </c>
      <c r="D47" s="7" t="s">
        <v>366</v>
      </c>
      <c r="E47" s="7" t="s">
        <v>353</v>
      </c>
      <c r="F47" s="7" t="s">
        <v>354</v>
      </c>
      <c r="G47" s="7">
        <v>3475.61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hidden="1" x14ac:dyDescent="0.35">
      <c r="A48" s="7" t="s">
        <v>161</v>
      </c>
      <c r="B48" s="7" t="s">
        <v>160</v>
      </c>
      <c r="C48" s="7" t="s">
        <v>19</v>
      </c>
      <c r="D48" s="7" t="s">
        <v>365</v>
      </c>
      <c r="E48" s="7" t="s">
        <v>353</v>
      </c>
      <c r="F48" s="7" t="s">
        <v>357</v>
      </c>
      <c r="G48" s="7">
        <v>28285.07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</row>
    <row r="49" spans="1:21" hidden="1" x14ac:dyDescent="0.35">
      <c r="A49" s="7" t="s">
        <v>29</v>
      </c>
      <c r="B49" s="7" t="s">
        <v>28</v>
      </c>
      <c r="C49" s="7" t="s">
        <v>19</v>
      </c>
      <c r="D49" s="7" t="s">
        <v>364</v>
      </c>
      <c r="E49" s="7" t="s">
        <v>356</v>
      </c>
      <c r="F49" s="7" t="s">
        <v>360</v>
      </c>
      <c r="G49" s="7">
        <v>73551.929999999993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r="50" spans="1:21" x14ac:dyDescent="0.35">
      <c r="A50" s="7" t="s">
        <v>135</v>
      </c>
      <c r="B50" s="7" t="s">
        <v>134</v>
      </c>
      <c r="C50" s="7" t="s">
        <v>98</v>
      </c>
      <c r="D50" s="7" t="s">
        <v>366</v>
      </c>
      <c r="E50" s="7" t="s">
        <v>353</v>
      </c>
      <c r="F50" s="7" t="s">
        <v>359</v>
      </c>
      <c r="G50" s="7">
        <v>8020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</row>
    <row r="51" spans="1:21" hidden="1" x14ac:dyDescent="0.35">
      <c r="A51" s="7" t="s">
        <v>44</v>
      </c>
      <c r="B51" s="7" t="s">
        <v>43</v>
      </c>
      <c r="C51" s="7" t="s">
        <v>19</v>
      </c>
      <c r="D51" s="7" t="s">
        <v>355</v>
      </c>
      <c r="E51" s="7" t="s">
        <v>356</v>
      </c>
      <c r="F51" s="7" t="s">
        <v>360</v>
      </c>
      <c r="G51" s="7">
        <v>44327.21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</row>
    <row r="52" spans="1:21" x14ac:dyDescent="0.35">
      <c r="A52" s="7" t="s">
        <v>259</v>
      </c>
      <c r="B52" s="7" t="s">
        <v>258</v>
      </c>
      <c r="C52" s="7" t="s">
        <v>98</v>
      </c>
      <c r="D52" s="7" t="s">
        <v>366</v>
      </c>
      <c r="E52" s="7" t="s">
        <v>353</v>
      </c>
      <c r="F52" s="7" t="s">
        <v>359</v>
      </c>
      <c r="G52" s="7">
        <v>4565.3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</row>
    <row r="53" spans="1:21" hidden="1" x14ac:dyDescent="0.35">
      <c r="A53" s="7" t="s">
        <v>283</v>
      </c>
      <c r="B53" s="7" t="s">
        <v>282</v>
      </c>
      <c r="C53" s="7" t="s">
        <v>93</v>
      </c>
      <c r="D53" s="7"/>
      <c r="E53" s="7" t="s">
        <v>353</v>
      </c>
      <c r="F53" s="7" t="s">
        <v>359</v>
      </c>
      <c r="G53" s="7">
        <v>3193.67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</row>
    <row r="54" spans="1:21" hidden="1" x14ac:dyDescent="0.35">
      <c r="A54" s="7" t="s">
        <v>247</v>
      </c>
      <c r="B54" s="7" t="s">
        <v>246</v>
      </c>
      <c r="C54" s="7" t="s">
        <v>40</v>
      </c>
      <c r="D54" s="7" t="s">
        <v>371</v>
      </c>
      <c r="E54" s="7" t="s">
        <v>353</v>
      </c>
      <c r="F54" s="7" t="s">
        <v>359</v>
      </c>
      <c r="G54" s="7">
        <v>7486.02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hidden="1" x14ac:dyDescent="0.35">
      <c r="A55" s="7" t="s">
        <v>78</v>
      </c>
      <c r="B55" s="7" t="s">
        <v>77</v>
      </c>
      <c r="C55" s="7" t="s">
        <v>19</v>
      </c>
      <c r="D55" s="7" t="s">
        <v>373</v>
      </c>
      <c r="E55" s="7" t="s">
        <v>356</v>
      </c>
      <c r="F55" s="7" t="s">
        <v>360</v>
      </c>
      <c r="G55" s="7">
        <v>48552.47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</row>
    <row r="56" spans="1:21" hidden="1" x14ac:dyDescent="0.35">
      <c r="A56" s="7" t="s">
        <v>115</v>
      </c>
      <c r="B56" s="7" t="s">
        <v>114</v>
      </c>
      <c r="C56" s="7" t="s">
        <v>65</v>
      </c>
      <c r="D56" s="7" t="s">
        <v>352</v>
      </c>
      <c r="E56" s="7" t="s">
        <v>353</v>
      </c>
      <c r="F56" s="7" t="s">
        <v>359</v>
      </c>
      <c r="G56" s="7">
        <v>11159.99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</row>
    <row r="57" spans="1:21" hidden="1" x14ac:dyDescent="0.35">
      <c r="A57" s="7" t="s">
        <v>129</v>
      </c>
      <c r="B57" s="7" t="s">
        <v>128</v>
      </c>
      <c r="C57" s="7" t="s">
        <v>65</v>
      </c>
      <c r="D57" s="7" t="s">
        <v>368</v>
      </c>
      <c r="E57" s="7" t="s">
        <v>353</v>
      </c>
      <c r="F57" s="7" t="s">
        <v>357</v>
      </c>
      <c r="G57" s="7">
        <v>16448.28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hidden="1" x14ac:dyDescent="0.35">
      <c r="A58" s="7" t="s">
        <v>23</v>
      </c>
      <c r="B58" s="7" t="s">
        <v>22</v>
      </c>
      <c r="C58" s="7" t="s">
        <v>19</v>
      </c>
      <c r="D58" s="7" t="s">
        <v>372</v>
      </c>
      <c r="E58" s="7" t="s">
        <v>356</v>
      </c>
      <c r="F58" s="7" t="s">
        <v>360</v>
      </c>
      <c r="G58" s="7">
        <v>133437.47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hidden="1" x14ac:dyDescent="0.35">
      <c r="A59" s="7" t="s">
        <v>104</v>
      </c>
      <c r="B59" s="7" t="s">
        <v>103</v>
      </c>
      <c r="C59" s="7" t="s">
        <v>105</v>
      </c>
      <c r="D59" s="7"/>
      <c r="E59" s="7" t="s">
        <v>356</v>
      </c>
      <c r="F59" s="7" t="s">
        <v>360</v>
      </c>
      <c r="G59" s="7">
        <v>57235.78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</row>
    <row r="60" spans="1:21" hidden="1" x14ac:dyDescent="0.35">
      <c r="A60" s="7" t="s">
        <v>21</v>
      </c>
      <c r="B60" s="7" t="s">
        <v>20</v>
      </c>
      <c r="C60" s="7" t="s">
        <v>19</v>
      </c>
      <c r="D60" s="7" t="s">
        <v>364</v>
      </c>
      <c r="E60" s="7" t="s">
        <v>356</v>
      </c>
      <c r="F60" s="7" t="s">
        <v>360</v>
      </c>
      <c r="G60" s="7">
        <v>62014.27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 spans="1:21" hidden="1" x14ac:dyDescent="0.35">
      <c r="A61" s="7" t="s">
        <v>199</v>
      </c>
      <c r="B61" s="7" t="s">
        <v>198</v>
      </c>
      <c r="C61" s="7" t="s">
        <v>93</v>
      </c>
      <c r="D61" s="7"/>
      <c r="E61" s="7" t="s">
        <v>353</v>
      </c>
      <c r="F61" s="7" t="s">
        <v>357</v>
      </c>
      <c r="G61" s="7">
        <v>12890.27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</row>
    <row r="62" spans="1:21" hidden="1" x14ac:dyDescent="0.35">
      <c r="A62" s="7" t="s">
        <v>67</v>
      </c>
      <c r="B62" s="7" t="s">
        <v>66</v>
      </c>
      <c r="C62" s="7" t="s">
        <v>65</v>
      </c>
      <c r="D62" s="7" t="s">
        <v>370</v>
      </c>
      <c r="E62" s="7" t="s">
        <v>356</v>
      </c>
      <c r="F62" s="7" t="s">
        <v>360</v>
      </c>
      <c r="G62" s="7">
        <v>52039.17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r="63" spans="1:21" hidden="1" x14ac:dyDescent="0.35">
      <c r="A63" s="7" t="s">
        <v>121</v>
      </c>
      <c r="B63" s="7" t="s">
        <v>120</v>
      </c>
      <c r="C63" s="7" t="s">
        <v>105</v>
      </c>
      <c r="D63" s="7"/>
      <c r="E63" s="7" t="s">
        <v>353</v>
      </c>
      <c r="F63" s="7" t="s">
        <v>359</v>
      </c>
      <c r="G63" s="7">
        <v>10821.49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hidden="1" x14ac:dyDescent="0.35">
      <c r="A64" s="7" t="s">
        <v>163</v>
      </c>
      <c r="B64" s="7" t="s">
        <v>162</v>
      </c>
      <c r="C64" s="7" t="s">
        <v>65</v>
      </c>
      <c r="D64" s="7" t="s">
        <v>362</v>
      </c>
      <c r="E64" s="7" t="s">
        <v>353</v>
      </c>
      <c r="F64" s="7" t="s">
        <v>357</v>
      </c>
      <c r="G64" s="7">
        <v>40890.93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x14ac:dyDescent="0.35">
      <c r="A65" s="7" t="s">
        <v>123</v>
      </c>
      <c r="B65" s="7" t="s">
        <v>122</v>
      </c>
      <c r="C65" s="7" t="s">
        <v>98</v>
      </c>
      <c r="D65" s="7" t="s">
        <v>367</v>
      </c>
      <c r="E65" s="7" t="s">
        <v>353</v>
      </c>
      <c r="F65" s="7" t="s">
        <v>359</v>
      </c>
      <c r="G65" s="7">
        <v>6644.13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r="66" spans="1:21" hidden="1" x14ac:dyDescent="0.35">
      <c r="A66" s="7" t="s">
        <v>229</v>
      </c>
      <c r="B66" s="7" t="s">
        <v>228</v>
      </c>
      <c r="C66" s="7" t="s">
        <v>19</v>
      </c>
      <c r="D66" s="7" t="s">
        <v>355</v>
      </c>
      <c r="E66" s="7" t="s">
        <v>353</v>
      </c>
      <c r="F66" s="7" t="s">
        <v>357</v>
      </c>
      <c r="G66" s="7">
        <v>17864.419999999998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</row>
    <row r="67" spans="1:21" hidden="1" x14ac:dyDescent="0.35">
      <c r="A67" s="7" t="s">
        <v>203</v>
      </c>
      <c r="B67" s="7" t="s">
        <v>202</v>
      </c>
      <c r="C67" s="7" t="s">
        <v>105</v>
      </c>
      <c r="D67" s="7"/>
      <c r="E67" s="7" t="s">
        <v>353</v>
      </c>
      <c r="F67" s="7" t="s">
        <v>360</v>
      </c>
      <c r="G67" s="7">
        <v>52443.6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r="68" spans="1:21" hidden="1" x14ac:dyDescent="0.35">
      <c r="A68" s="7" t="s">
        <v>82</v>
      </c>
      <c r="B68" s="7" t="s">
        <v>81</v>
      </c>
      <c r="C68" s="7" t="s">
        <v>65</v>
      </c>
      <c r="D68" s="7" t="s">
        <v>362</v>
      </c>
      <c r="E68" s="7" t="s">
        <v>353</v>
      </c>
      <c r="F68" s="7" t="s">
        <v>359</v>
      </c>
      <c r="G68" s="7">
        <v>8012.45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</row>
    <row r="69" spans="1:21" hidden="1" x14ac:dyDescent="0.35">
      <c r="A69" s="7" t="s">
        <v>255</v>
      </c>
      <c r="B69" s="7" t="s">
        <v>254</v>
      </c>
      <c r="C69" s="7" t="s">
        <v>65</v>
      </c>
      <c r="D69" s="7" t="s">
        <v>368</v>
      </c>
      <c r="E69" s="7" t="s">
        <v>353</v>
      </c>
      <c r="F69" s="7" t="s">
        <v>359</v>
      </c>
      <c r="G69" s="7">
        <v>9775.83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hidden="1" x14ac:dyDescent="0.35">
      <c r="A70" s="7" t="s">
        <v>35</v>
      </c>
      <c r="B70" s="7" t="s">
        <v>34</v>
      </c>
      <c r="C70" s="7" t="s">
        <v>19</v>
      </c>
      <c r="D70" s="7" t="s">
        <v>372</v>
      </c>
      <c r="E70" s="7" t="s">
        <v>356</v>
      </c>
      <c r="F70" s="7" t="s">
        <v>360</v>
      </c>
      <c r="G70" s="7">
        <v>43394.27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hidden="1" x14ac:dyDescent="0.35">
      <c r="A71" s="7" t="s">
        <v>253</v>
      </c>
      <c r="B71" s="7" t="s">
        <v>252</v>
      </c>
      <c r="C71" s="7" t="s">
        <v>105</v>
      </c>
      <c r="D71" s="7"/>
      <c r="E71" s="7" t="s">
        <v>353</v>
      </c>
      <c r="F71" s="7" t="s">
        <v>359</v>
      </c>
      <c r="G71" s="7">
        <v>12574.83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 spans="1:21" x14ac:dyDescent="0.35">
      <c r="A72" s="7" t="s">
        <v>211</v>
      </c>
      <c r="B72" s="7" t="s">
        <v>210</v>
      </c>
      <c r="C72" s="7" t="s">
        <v>98</v>
      </c>
      <c r="D72" s="7" t="s">
        <v>177</v>
      </c>
      <c r="E72" s="7" t="s">
        <v>353</v>
      </c>
      <c r="F72" s="7" t="s">
        <v>359</v>
      </c>
      <c r="G72" s="7">
        <v>3001.16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</row>
    <row r="73" spans="1:21" x14ac:dyDescent="0.35">
      <c r="A73" s="7" t="s">
        <v>267</v>
      </c>
      <c r="B73" s="7" t="s">
        <v>266</v>
      </c>
      <c r="C73" s="7" t="s">
        <v>98</v>
      </c>
      <c r="D73" s="7" t="s">
        <v>366</v>
      </c>
      <c r="E73" s="7" t="s">
        <v>353</v>
      </c>
      <c r="F73" s="7" t="s">
        <v>354</v>
      </c>
      <c r="G73" s="7">
        <v>1871.04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r="74" spans="1:21" x14ac:dyDescent="0.35">
      <c r="A74" s="7" t="s">
        <v>179</v>
      </c>
      <c r="B74" s="7" t="s">
        <v>178</v>
      </c>
      <c r="C74" s="7" t="s">
        <v>98</v>
      </c>
      <c r="D74" s="7" t="s">
        <v>358</v>
      </c>
      <c r="E74" s="7" t="s">
        <v>353</v>
      </c>
      <c r="F74" s="7" t="s">
        <v>357</v>
      </c>
      <c r="G74" s="7">
        <v>14303.81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r="75" spans="1:21" hidden="1" x14ac:dyDescent="0.35">
      <c r="A75" s="7" t="s">
        <v>60</v>
      </c>
      <c r="B75" s="7" t="s">
        <v>59</v>
      </c>
      <c r="C75" s="7" t="s">
        <v>19</v>
      </c>
      <c r="D75" s="7" t="s">
        <v>372</v>
      </c>
      <c r="E75" s="7" t="s">
        <v>356</v>
      </c>
      <c r="F75" s="7" t="s">
        <v>360</v>
      </c>
      <c r="G75" s="7">
        <v>55285.9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x14ac:dyDescent="0.35">
      <c r="A76" s="7" t="s">
        <v>223</v>
      </c>
      <c r="B76" s="7" t="s">
        <v>222</v>
      </c>
      <c r="C76" s="7" t="s">
        <v>98</v>
      </c>
      <c r="D76" s="7" t="s">
        <v>367</v>
      </c>
      <c r="E76" s="7" t="s">
        <v>353</v>
      </c>
      <c r="F76" s="7" t="s">
        <v>354</v>
      </c>
      <c r="G76" s="7">
        <v>1857.62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hidden="1" x14ac:dyDescent="0.35">
      <c r="A77" s="7" t="s">
        <v>131</v>
      </c>
      <c r="B77" s="7" t="s">
        <v>130</v>
      </c>
      <c r="C77" s="7" t="s">
        <v>65</v>
      </c>
      <c r="D77" s="7" t="s">
        <v>368</v>
      </c>
      <c r="E77" s="7" t="s">
        <v>353</v>
      </c>
      <c r="F77" s="7" t="s">
        <v>357</v>
      </c>
      <c r="G77" s="7">
        <v>38779.279999999999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</row>
    <row r="78" spans="1:21" x14ac:dyDescent="0.35">
      <c r="A78" s="7" t="s">
        <v>191</v>
      </c>
      <c r="B78" s="7" t="s">
        <v>190</v>
      </c>
      <c r="C78" s="7" t="s">
        <v>98</v>
      </c>
      <c r="D78" s="7" t="s">
        <v>367</v>
      </c>
      <c r="E78" s="7" t="s">
        <v>353</v>
      </c>
      <c r="F78" s="7" t="s">
        <v>357</v>
      </c>
      <c r="G78" s="7">
        <v>31839.759999999998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</row>
    <row r="79" spans="1:21" hidden="1" x14ac:dyDescent="0.35">
      <c r="A79" s="7" t="s">
        <v>185</v>
      </c>
      <c r="B79" s="7" t="s">
        <v>184</v>
      </c>
      <c r="C79" s="7" t="s">
        <v>40</v>
      </c>
      <c r="D79" s="7" t="s">
        <v>371</v>
      </c>
      <c r="E79" s="7" t="s">
        <v>353</v>
      </c>
      <c r="F79" s="7" t="s">
        <v>357</v>
      </c>
      <c r="G79" s="7">
        <v>26185.360000000001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r="80" spans="1:21" hidden="1" x14ac:dyDescent="0.35">
      <c r="A80" s="7" t="s">
        <v>217</v>
      </c>
      <c r="B80" s="7" t="s">
        <v>216</v>
      </c>
      <c r="C80" s="7" t="s">
        <v>65</v>
      </c>
      <c r="D80" s="7" t="s">
        <v>370</v>
      </c>
      <c r="E80" s="7" t="s">
        <v>353</v>
      </c>
      <c r="F80" s="7" t="s">
        <v>357</v>
      </c>
      <c r="G80" s="7">
        <v>19144.73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</row>
    <row r="81" spans="1:21" hidden="1" x14ac:dyDescent="0.35">
      <c r="A81" s="7" t="s">
        <v>187</v>
      </c>
      <c r="B81" s="7" t="s">
        <v>186</v>
      </c>
      <c r="C81" s="7" t="s">
        <v>19</v>
      </c>
      <c r="D81" s="7" t="s">
        <v>355</v>
      </c>
      <c r="E81" s="7" t="s">
        <v>356</v>
      </c>
      <c r="F81" s="7" t="s">
        <v>357</v>
      </c>
      <c r="G81" s="7">
        <v>34062.76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</row>
    <row r="82" spans="1:21" x14ac:dyDescent="0.35">
      <c r="A82" s="7" t="s">
        <v>149</v>
      </c>
      <c r="B82" s="7" t="s">
        <v>148</v>
      </c>
      <c r="C82" s="7" t="s">
        <v>98</v>
      </c>
      <c r="D82" s="7" t="s">
        <v>358</v>
      </c>
      <c r="E82" s="7" t="s">
        <v>353</v>
      </c>
      <c r="F82" s="7" t="s">
        <v>359</v>
      </c>
      <c r="G82" s="7">
        <v>10415.120000000001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</row>
    <row r="83" spans="1:21" x14ac:dyDescent="0.35">
      <c r="A83" s="7" t="s">
        <v>263</v>
      </c>
      <c r="B83" s="7" t="s">
        <v>262</v>
      </c>
      <c r="C83" s="7" t="s">
        <v>98</v>
      </c>
      <c r="D83" s="7" t="s">
        <v>367</v>
      </c>
      <c r="E83" s="7" t="s">
        <v>353</v>
      </c>
      <c r="F83" s="7" t="s">
        <v>354</v>
      </c>
      <c r="G83" s="7">
        <v>1705.38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1:21" hidden="1" x14ac:dyDescent="0.35">
      <c r="A84" s="7" t="s">
        <v>275</v>
      </c>
      <c r="B84" s="7" t="s">
        <v>274</v>
      </c>
      <c r="C84" s="7" t="s">
        <v>65</v>
      </c>
      <c r="D84" s="7" t="s">
        <v>368</v>
      </c>
      <c r="E84" s="7" t="s">
        <v>353</v>
      </c>
      <c r="F84" s="7" t="s">
        <v>359</v>
      </c>
      <c r="G84" s="7">
        <v>5997.47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1:21" hidden="1" x14ac:dyDescent="0.35">
      <c r="A85" s="7" t="s">
        <v>137</v>
      </c>
      <c r="B85" s="7" t="s">
        <v>136</v>
      </c>
      <c r="C85" s="7" t="s">
        <v>65</v>
      </c>
      <c r="D85" s="7" t="s">
        <v>352</v>
      </c>
      <c r="E85" s="7" t="s">
        <v>353</v>
      </c>
      <c r="F85" s="7" t="s">
        <v>359</v>
      </c>
      <c r="G85" s="7">
        <v>5736.62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</row>
    <row r="86" spans="1:21" hidden="1" x14ac:dyDescent="0.35">
      <c r="A86" s="7" t="s">
        <v>27</v>
      </c>
      <c r="B86" s="7" t="s">
        <v>26</v>
      </c>
      <c r="C86" s="7" t="s">
        <v>19</v>
      </c>
      <c r="D86" s="7" t="s">
        <v>364</v>
      </c>
      <c r="E86" s="7" t="s">
        <v>356</v>
      </c>
      <c r="F86" s="7" t="s">
        <v>360</v>
      </c>
      <c r="G86" s="7">
        <v>86173.63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</row>
    <row r="87" spans="1:21" hidden="1" x14ac:dyDescent="0.35">
      <c r="A87" s="7" t="s">
        <v>100</v>
      </c>
      <c r="B87" s="7" t="s">
        <v>99</v>
      </c>
      <c r="C87" s="7" t="s">
        <v>65</v>
      </c>
      <c r="D87" s="7" t="s">
        <v>363</v>
      </c>
      <c r="E87" s="7" t="s">
        <v>356</v>
      </c>
      <c r="F87" s="7" t="s">
        <v>360</v>
      </c>
      <c r="G87" s="7">
        <v>55551.14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</row>
    <row r="88" spans="1:21" x14ac:dyDescent="0.35">
      <c r="A88" s="7" t="s">
        <v>273</v>
      </c>
      <c r="B88" s="7" t="s">
        <v>272</v>
      </c>
      <c r="C88" s="7" t="s">
        <v>98</v>
      </c>
      <c r="D88" s="7" t="s">
        <v>366</v>
      </c>
      <c r="E88" s="7" t="s">
        <v>353</v>
      </c>
      <c r="F88" s="7" t="s">
        <v>354</v>
      </c>
      <c r="G88" s="7">
        <v>2049.9299999999998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</row>
    <row r="89" spans="1:21" x14ac:dyDescent="0.35">
      <c r="A89" s="7" t="s">
        <v>97</v>
      </c>
      <c r="B89" s="7" t="s">
        <v>96</v>
      </c>
      <c r="C89" s="7" t="s">
        <v>98</v>
      </c>
      <c r="D89" s="7" t="s">
        <v>366</v>
      </c>
      <c r="E89" s="7" t="s">
        <v>353</v>
      </c>
      <c r="F89" s="7" t="s">
        <v>359</v>
      </c>
      <c r="G89" s="7">
        <v>9086.8799999999992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1:21" hidden="1" x14ac:dyDescent="0.35">
      <c r="A90" s="7" t="s">
        <v>139</v>
      </c>
      <c r="B90" s="7" t="s">
        <v>138</v>
      </c>
      <c r="C90" s="7" t="s">
        <v>19</v>
      </c>
      <c r="D90" s="7" t="s">
        <v>355</v>
      </c>
      <c r="E90" s="7" t="s">
        <v>356</v>
      </c>
      <c r="F90" s="7" t="s">
        <v>357</v>
      </c>
      <c r="G90" s="7">
        <v>26995.43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1:21" hidden="1" x14ac:dyDescent="0.35">
      <c r="A91" s="7" t="s">
        <v>18</v>
      </c>
      <c r="B91" s="7" t="s">
        <v>17</v>
      </c>
      <c r="C91" s="7" t="s">
        <v>19</v>
      </c>
      <c r="D91" s="7" t="s">
        <v>372</v>
      </c>
      <c r="E91" s="7" t="s">
        <v>356</v>
      </c>
      <c r="F91" s="7" t="s">
        <v>360</v>
      </c>
      <c r="G91" s="7">
        <v>102037.53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</row>
    <row r="92" spans="1:21" hidden="1" x14ac:dyDescent="0.35">
      <c r="A92" s="7" t="s">
        <v>147</v>
      </c>
      <c r="B92" s="7" t="s">
        <v>146</v>
      </c>
      <c r="C92" s="7" t="s">
        <v>105</v>
      </c>
      <c r="D92" s="7"/>
      <c r="E92" s="7" t="s">
        <v>353</v>
      </c>
      <c r="F92" s="7" t="s">
        <v>360</v>
      </c>
      <c r="G92" s="7">
        <v>41740.17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</row>
    <row r="93" spans="1:21" hidden="1" x14ac:dyDescent="0.35">
      <c r="A93" s="7" t="s">
        <v>125</v>
      </c>
      <c r="B93" s="7" t="s">
        <v>124</v>
      </c>
      <c r="C93" s="7" t="s">
        <v>65</v>
      </c>
      <c r="D93" s="7" t="s">
        <v>352</v>
      </c>
      <c r="E93" s="7" t="s">
        <v>353</v>
      </c>
      <c r="F93" s="7" t="s">
        <v>359</v>
      </c>
      <c r="G93" s="7">
        <v>6252.12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</row>
    <row r="94" spans="1:21" hidden="1" x14ac:dyDescent="0.35">
      <c r="A94" s="7" t="s">
        <v>197</v>
      </c>
      <c r="B94" s="7" t="s">
        <v>196</v>
      </c>
      <c r="C94" s="7" t="s">
        <v>40</v>
      </c>
      <c r="D94" s="7" t="s">
        <v>371</v>
      </c>
      <c r="E94" s="7" t="s">
        <v>353</v>
      </c>
      <c r="F94" s="7" t="s">
        <v>360</v>
      </c>
      <c r="G94" s="7">
        <v>41369.42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</row>
    <row r="95" spans="1:21" hidden="1" x14ac:dyDescent="0.35">
      <c r="A95" s="7" t="s">
        <v>193</v>
      </c>
      <c r="B95" s="7" t="s">
        <v>192</v>
      </c>
      <c r="C95" s="7" t="s">
        <v>40</v>
      </c>
      <c r="D95" s="7" t="s">
        <v>361</v>
      </c>
      <c r="E95" s="7" t="s">
        <v>353</v>
      </c>
      <c r="F95" s="7" t="s">
        <v>357</v>
      </c>
      <c r="G95" s="7">
        <v>18523.68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</row>
    <row r="96" spans="1:21" hidden="1" x14ac:dyDescent="0.35">
      <c r="A96" s="7" t="s">
        <v>88</v>
      </c>
      <c r="B96" s="7" t="s">
        <v>87</v>
      </c>
      <c r="C96" s="7" t="s">
        <v>40</v>
      </c>
      <c r="D96" s="7" t="s">
        <v>361</v>
      </c>
      <c r="E96" s="7" t="s">
        <v>353</v>
      </c>
      <c r="F96" s="7" t="s">
        <v>357</v>
      </c>
      <c r="G96" s="7">
        <v>17802.419999999998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</row>
    <row r="97" spans="1:21" hidden="1" x14ac:dyDescent="0.35">
      <c r="A97" s="7" t="s">
        <v>159</v>
      </c>
      <c r="B97" s="7" t="s">
        <v>158</v>
      </c>
      <c r="C97" s="7" t="s">
        <v>65</v>
      </c>
      <c r="D97" s="7" t="s">
        <v>368</v>
      </c>
      <c r="E97" s="7" t="s">
        <v>353</v>
      </c>
      <c r="F97" s="7" t="s">
        <v>359</v>
      </c>
      <c r="G97" s="7">
        <v>11794.14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1:21" hidden="1" x14ac:dyDescent="0.35">
      <c r="A98" s="7" t="s">
        <v>52</v>
      </c>
      <c r="B98" s="7" t="s">
        <v>51</v>
      </c>
      <c r="C98" s="7" t="s">
        <v>19</v>
      </c>
      <c r="D98" s="7" t="s">
        <v>373</v>
      </c>
      <c r="E98" s="7" t="s">
        <v>356</v>
      </c>
      <c r="F98" s="7" t="s">
        <v>360</v>
      </c>
      <c r="G98" s="7">
        <v>51262.51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1:21" hidden="1" x14ac:dyDescent="0.35">
      <c r="A99" s="7" t="s">
        <v>54</v>
      </c>
      <c r="B99" s="7" t="s">
        <v>53</v>
      </c>
      <c r="C99" s="7" t="s">
        <v>19</v>
      </c>
      <c r="D99" s="7" t="s">
        <v>364</v>
      </c>
      <c r="E99" s="7" t="s">
        <v>356</v>
      </c>
      <c r="F99" s="7" t="s">
        <v>360</v>
      </c>
      <c r="G99" s="7">
        <v>51679.89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1:21" hidden="1" x14ac:dyDescent="0.35">
      <c r="A100" s="7" t="s">
        <v>127</v>
      </c>
      <c r="B100" s="7" t="s">
        <v>126</v>
      </c>
      <c r="C100" s="7" t="s">
        <v>105</v>
      </c>
      <c r="D100" s="7"/>
      <c r="E100" s="7" t="s">
        <v>353</v>
      </c>
      <c r="F100" s="7" t="s">
        <v>360</v>
      </c>
      <c r="G100" s="7">
        <v>126046.35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1:21" hidden="1" x14ac:dyDescent="0.35">
      <c r="A101" s="7" t="s">
        <v>113</v>
      </c>
      <c r="B101" s="7" t="s">
        <v>112</v>
      </c>
      <c r="C101" s="7" t="s">
        <v>19</v>
      </c>
      <c r="D101" s="7" t="s">
        <v>365</v>
      </c>
      <c r="E101" s="7" t="s">
        <v>356</v>
      </c>
      <c r="F101" s="7" t="s">
        <v>357</v>
      </c>
      <c r="G101" s="7">
        <v>18614.990000000002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</row>
    <row r="102" spans="1:21" hidden="1" x14ac:dyDescent="0.35">
      <c r="A102" s="7" t="s">
        <v>80</v>
      </c>
      <c r="B102" s="7" t="s">
        <v>79</v>
      </c>
      <c r="C102" s="7" t="s">
        <v>19</v>
      </c>
      <c r="D102" s="7" t="s">
        <v>373</v>
      </c>
      <c r="E102" s="7" t="s">
        <v>356</v>
      </c>
      <c r="F102" s="7" t="s">
        <v>360</v>
      </c>
      <c r="G102" s="7">
        <v>49076.54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</row>
    <row r="103" spans="1:21" x14ac:dyDescent="0.35">
      <c r="A103" s="7" t="s">
        <v>155</v>
      </c>
      <c r="B103" s="7" t="s">
        <v>154</v>
      </c>
      <c r="C103" s="7" t="s">
        <v>98</v>
      </c>
      <c r="D103" s="7" t="s">
        <v>367</v>
      </c>
      <c r="E103" s="7" t="s">
        <v>353</v>
      </c>
      <c r="F103" s="7" t="s">
        <v>354</v>
      </c>
      <c r="G103" s="7">
        <v>3710.86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</row>
    <row r="104" spans="1:21" hidden="1" x14ac:dyDescent="0.35">
      <c r="A104" s="7" t="s">
        <v>241</v>
      </c>
      <c r="B104" s="7" t="s">
        <v>240</v>
      </c>
      <c r="C104" s="7" t="s">
        <v>93</v>
      </c>
      <c r="D104" s="7"/>
      <c r="E104" s="7" t="s">
        <v>353</v>
      </c>
      <c r="F104" s="7" t="s">
        <v>357</v>
      </c>
      <c r="G104" s="7">
        <v>27567.33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</row>
    <row r="105" spans="1:21" hidden="1" x14ac:dyDescent="0.35">
      <c r="A105" s="7" t="s">
        <v>157</v>
      </c>
      <c r="B105" s="7" t="s">
        <v>156</v>
      </c>
      <c r="C105" s="7" t="s">
        <v>105</v>
      </c>
      <c r="D105" s="7"/>
      <c r="E105" s="7" t="s">
        <v>353</v>
      </c>
      <c r="F105" s="7" t="s">
        <v>360</v>
      </c>
      <c r="G105" s="7">
        <v>71375.37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r="106" spans="1:21" x14ac:dyDescent="0.35">
      <c r="A106" s="7" t="s">
        <v>171</v>
      </c>
      <c r="B106" s="7" t="s">
        <v>170</v>
      </c>
      <c r="C106" s="7" t="s">
        <v>98</v>
      </c>
      <c r="D106" s="7" t="s">
        <v>366</v>
      </c>
      <c r="E106" s="7" t="s">
        <v>353</v>
      </c>
      <c r="F106" s="7" t="s">
        <v>359</v>
      </c>
      <c r="G106" s="7">
        <v>5070.6499999999996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1:21" hidden="1" x14ac:dyDescent="0.35">
      <c r="A107" s="7" t="s">
        <v>86</v>
      </c>
      <c r="B107" s="7" t="s">
        <v>85</v>
      </c>
      <c r="C107" s="7" t="s">
        <v>19</v>
      </c>
      <c r="D107" s="7" t="s">
        <v>355</v>
      </c>
      <c r="E107" s="7" t="s">
        <v>356</v>
      </c>
      <c r="F107" s="7" t="s">
        <v>357</v>
      </c>
      <c r="G107" s="7">
        <v>32832.18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</row>
    <row r="108" spans="1:21" x14ac:dyDescent="0.35">
      <c r="A108" s="7" t="s">
        <v>251</v>
      </c>
      <c r="B108" s="7" t="s">
        <v>250</v>
      </c>
      <c r="C108" s="7" t="s">
        <v>98</v>
      </c>
      <c r="D108" s="7" t="s">
        <v>366</v>
      </c>
      <c r="E108" s="7" t="s">
        <v>353</v>
      </c>
      <c r="F108" s="7" t="s">
        <v>354</v>
      </c>
      <c r="G108" s="7">
        <v>3522.31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</row>
    <row r="109" spans="1:21" hidden="1" x14ac:dyDescent="0.35">
      <c r="A109" s="7" t="s">
        <v>102</v>
      </c>
      <c r="B109" s="7" t="s">
        <v>101</v>
      </c>
      <c r="C109" s="7" t="s">
        <v>65</v>
      </c>
      <c r="D109" s="7" t="s">
        <v>368</v>
      </c>
      <c r="E109" s="7" t="s">
        <v>353</v>
      </c>
      <c r="F109" s="7" t="s">
        <v>360</v>
      </c>
      <c r="G109" s="7">
        <v>150689.29999999999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</row>
    <row r="110" spans="1:21" hidden="1" x14ac:dyDescent="0.35">
      <c r="A110" s="7" t="s">
        <v>84</v>
      </c>
      <c r="B110" s="7" t="s">
        <v>83</v>
      </c>
      <c r="C110" s="7" t="s">
        <v>19</v>
      </c>
      <c r="D110" s="7" t="s">
        <v>373</v>
      </c>
      <c r="E110" s="7" t="s">
        <v>356</v>
      </c>
      <c r="F110" s="7" t="s">
        <v>360</v>
      </c>
      <c r="G110" s="7">
        <v>48132.36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</row>
    <row r="111" spans="1:21" hidden="1" x14ac:dyDescent="0.35">
      <c r="A111" s="7" t="s">
        <v>33</v>
      </c>
      <c r="B111" s="7" t="s">
        <v>32</v>
      </c>
      <c r="C111" s="7" t="s">
        <v>19</v>
      </c>
      <c r="D111" s="7" t="s">
        <v>355</v>
      </c>
      <c r="E111" s="7" t="s">
        <v>356</v>
      </c>
      <c r="F111" s="7" t="s">
        <v>360</v>
      </c>
      <c r="G111" s="7">
        <v>57186.37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</row>
    <row r="112" spans="1:21" x14ac:dyDescent="0.35">
      <c r="A112" s="7" t="s">
        <v>271</v>
      </c>
      <c r="B112" s="7" t="s">
        <v>270</v>
      </c>
      <c r="C112" s="7" t="s">
        <v>98</v>
      </c>
      <c r="D112" s="7" t="s">
        <v>367</v>
      </c>
      <c r="E112" s="7" t="s">
        <v>353</v>
      </c>
      <c r="F112" s="7" t="s">
        <v>354</v>
      </c>
      <c r="G112" s="7">
        <v>1601.96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</row>
    <row r="113" spans="1:21" x14ac:dyDescent="0.35">
      <c r="A113" s="7" t="s">
        <v>177</v>
      </c>
      <c r="B113" s="7" t="s">
        <v>176</v>
      </c>
      <c r="C113" s="7" t="s">
        <v>98</v>
      </c>
      <c r="D113" s="7" t="s">
        <v>177</v>
      </c>
      <c r="E113" s="7" t="s">
        <v>353</v>
      </c>
      <c r="F113" s="7" t="s">
        <v>357</v>
      </c>
      <c r="G113" s="7">
        <v>15456.2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</row>
    <row r="114" spans="1:21" hidden="1" x14ac:dyDescent="0.35">
      <c r="A114" s="7" t="s">
        <v>95</v>
      </c>
      <c r="B114" s="7" t="s">
        <v>94</v>
      </c>
      <c r="C114" s="7" t="s">
        <v>65</v>
      </c>
      <c r="D114" s="7" t="s">
        <v>370</v>
      </c>
      <c r="E114" s="7" t="s">
        <v>356</v>
      </c>
      <c r="F114" s="7" t="s">
        <v>360</v>
      </c>
      <c r="G114" s="7">
        <v>61051.35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</row>
    <row r="115" spans="1:21" x14ac:dyDescent="0.35">
      <c r="A115" s="7" t="s">
        <v>293</v>
      </c>
      <c r="B115" s="7" t="s">
        <v>292</v>
      </c>
      <c r="C115" s="7" t="s">
        <v>98</v>
      </c>
      <c r="D115" s="7" t="s">
        <v>367</v>
      </c>
      <c r="E115" s="7" t="s">
        <v>353</v>
      </c>
      <c r="F115" s="7" t="s">
        <v>354</v>
      </c>
      <c r="G115" s="7">
        <v>1154.8900000000001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</row>
    <row r="116" spans="1:21" hidden="1" x14ac:dyDescent="0.35">
      <c r="A116" s="7" t="s">
        <v>42</v>
      </c>
      <c r="B116" s="7" t="s">
        <v>41</v>
      </c>
      <c r="C116" s="7" t="s">
        <v>19</v>
      </c>
      <c r="D116" s="7" t="s">
        <v>364</v>
      </c>
      <c r="E116" s="7" t="s">
        <v>356</v>
      </c>
      <c r="F116" s="7" t="s">
        <v>360</v>
      </c>
      <c r="G116" s="7">
        <v>57965.29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</row>
    <row r="117" spans="1:21" hidden="1" x14ac:dyDescent="0.35">
      <c r="A117" s="7" t="s">
        <v>167</v>
      </c>
      <c r="B117" s="7" t="s">
        <v>166</v>
      </c>
      <c r="C117" s="7" t="s">
        <v>65</v>
      </c>
      <c r="D117" s="7" t="s">
        <v>352</v>
      </c>
      <c r="E117" s="7" t="s">
        <v>353</v>
      </c>
      <c r="F117" s="7" t="s">
        <v>359</v>
      </c>
      <c r="G117" s="7">
        <v>15632.59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</row>
    <row r="118" spans="1:21" hidden="1" x14ac:dyDescent="0.35">
      <c r="A118" s="7" t="s">
        <v>219</v>
      </c>
      <c r="B118" s="7" t="s">
        <v>218</v>
      </c>
      <c r="C118" s="7" t="s">
        <v>105</v>
      </c>
      <c r="D118" s="7"/>
      <c r="E118" s="7" t="s">
        <v>353</v>
      </c>
      <c r="F118" s="7" t="s">
        <v>359</v>
      </c>
      <c r="G118" s="7">
        <v>4371.1099999999997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</row>
    <row r="119" spans="1:21" hidden="1" x14ac:dyDescent="0.35">
      <c r="A119" s="7" t="s">
        <v>56</v>
      </c>
      <c r="B119" s="7" t="s">
        <v>55</v>
      </c>
      <c r="C119" s="7" t="s">
        <v>19</v>
      </c>
      <c r="D119" s="7" t="s">
        <v>364</v>
      </c>
      <c r="E119" s="7" t="s">
        <v>356</v>
      </c>
      <c r="F119" s="7" t="s">
        <v>360</v>
      </c>
      <c r="G119" s="7">
        <v>96497.69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</row>
    <row r="120" spans="1:21" hidden="1" x14ac:dyDescent="0.35">
      <c r="A120" s="7" t="s">
        <v>231</v>
      </c>
      <c r="B120" s="7" t="s">
        <v>230</v>
      </c>
      <c r="C120" s="7" t="s">
        <v>65</v>
      </c>
      <c r="D120" s="7" t="s">
        <v>362</v>
      </c>
      <c r="E120" s="7" t="s">
        <v>353</v>
      </c>
      <c r="F120" s="7" t="s">
        <v>359</v>
      </c>
      <c r="G120" s="7">
        <v>5405.98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</row>
    <row r="121" spans="1:21" hidden="1" x14ac:dyDescent="0.35">
      <c r="A121" s="7" t="s">
        <v>143</v>
      </c>
      <c r="B121" s="7" t="s">
        <v>142</v>
      </c>
      <c r="C121" s="7" t="s">
        <v>65</v>
      </c>
      <c r="D121" s="7" t="s">
        <v>368</v>
      </c>
      <c r="E121" s="7" t="s">
        <v>353</v>
      </c>
      <c r="F121" s="7" t="s">
        <v>357</v>
      </c>
      <c r="G121" s="7">
        <v>24712.07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</row>
    <row r="122" spans="1:21" x14ac:dyDescent="0.35">
      <c r="A122" s="7" t="s">
        <v>257</v>
      </c>
      <c r="B122" s="7" t="s">
        <v>256</v>
      </c>
      <c r="C122" s="7" t="s">
        <v>98</v>
      </c>
      <c r="D122" s="7" t="s">
        <v>366</v>
      </c>
      <c r="E122" s="7" t="s">
        <v>353</v>
      </c>
      <c r="F122" s="7" t="s">
        <v>354</v>
      </c>
      <c r="G122" s="7">
        <v>3365.46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</row>
    <row r="123" spans="1:21" hidden="1" x14ac:dyDescent="0.35">
      <c r="A123" s="7" t="s">
        <v>195</v>
      </c>
      <c r="B123" s="7" t="s">
        <v>194</v>
      </c>
      <c r="C123" s="7" t="s">
        <v>93</v>
      </c>
      <c r="D123" s="7"/>
      <c r="E123" s="7" t="s">
        <v>353</v>
      </c>
      <c r="F123" s="7" t="s">
        <v>360</v>
      </c>
      <c r="G123" s="7">
        <v>36328.51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</row>
    <row r="124" spans="1:21" x14ac:dyDescent="0.35">
      <c r="A124" s="7" t="s">
        <v>243</v>
      </c>
      <c r="B124" s="7" t="s">
        <v>242</v>
      </c>
      <c r="C124" s="7" t="s">
        <v>98</v>
      </c>
      <c r="D124" s="7" t="s">
        <v>358</v>
      </c>
      <c r="E124" s="7" t="s">
        <v>353</v>
      </c>
      <c r="F124" s="7" t="s">
        <v>359</v>
      </c>
      <c r="G124" s="7">
        <v>14521.01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</row>
    <row r="125" spans="1:21" hidden="1" x14ac:dyDescent="0.35">
      <c r="A125" s="7" t="s">
        <v>277</v>
      </c>
      <c r="B125" s="7" t="s">
        <v>276</v>
      </c>
      <c r="C125" s="7" t="s">
        <v>65</v>
      </c>
      <c r="D125" s="7" t="s">
        <v>362</v>
      </c>
      <c r="E125" s="7" t="s">
        <v>353</v>
      </c>
      <c r="F125" s="7" t="s">
        <v>357</v>
      </c>
      <c r="G125" s="7">
        <v>21213.09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</row>
    <row r="126" spans="1:21" x14ac:dyDescent="0.35">
      <c r="A126" s="7" t="s">
        <v>237</v>
      </c>
      <c r="B126" s="7" t="s">
        <v>236</v>
      </c>
      <c r="C126" s="7" t="s">
        <v>98</v>
      </c>
      <c r="D126" s="7" t="s">
        <v>367</v>
      </c>
      <c r="E126" s="7" t="s">
        <v>353</v>
      </c>
      <c r="F126" s="7" t="s">
        <v>354</v>
      </c>
      <c r="G126" s="7">
        <v>3273.27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</row>
    <row r="127" spans="1:21" hidden="1" x14ac:dyDescent="0.35">
      <c r="A127" s="7" t="s">
        <v>111</v>
      </c>
      <c r="B127" s="7" t="s">
        <v>110</v>
      </c>
      <c r="C127" s="7" t="s">
        <v>19</v>
      </c>
      <c r="D127" s="7" t="s">
        <v>365</v>
      </c>
      <c r="E127" s="7" t="s">
        <v>356</v>
      </c>
      <c r="F127" s="7" t="s">
        <v>357</v>
      </c>
      <c r="G127" s="7">
        <v>18550.46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</row>
    <row r="128" spans="1:21" hidden="1" x14ac:dyDescent="0.35">
      <c r="A128" s="7" t="s">
        <v>133</v>
      </c>
      <c r="B128" s="7" t="s">
        <v>132</v>
      </c>
      <c r="C128" s="7" t="s">
        <v>105</v>
      </c>
      <c r="D128" s="7"/>
      <c r="E128" s="7" t="s">
        <v>353</v>
      </c>
      <c r="F128" s="7" t="s">
        <v>360</v>
      </c>
      <c r="G128" s="7">
        <v>79228.740000000005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</row>
    <row r="129" spans="1:21" hidden="1" x14ac:dyDescent="0.35">
      <c r="A129" s="7" t="s">
        <v>31</v>
      </c>
      <c r="B129" s="7" t="s">
        <v>30</v>
      </c>
      <c r="C129" s="7" t="s">
        <v>19</v>
      </c>
      <c r="D129" s="7" t="s">
        <v>372</v>
      </c>
      <c r="E129" s="7" t="s">
        <v>356</v>
      </c>
      <c r="F129" s="7" t="s">
        <v>360</v>
      </c>
      <c r="G129" s="7">
        <v>62009.49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</row>
    <row r="130" spans="1:21" x14ac:dyDescent="0.35">
      <c r="A130" s="7" t="s">
        <v>209</v>
      </c>
      <c r="B130" s="7" t="s">
        <v>208</v>
      </c>
      <c r="C130" s="7" t="s">
        <v>98</v>
      </c>
      <c r="D130" s="7" t="s">
        <v>367</v>
      </c>
      <c r="E130" s="7" t="s">
        <v>353</v>
      </c>
      <c r="F130" s="7" t="s">
        <v>359</v>
      </c>
      <c r="G130" s="7">
        <v>4220.8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</row>
    <row r="131" spans="1:21" hidden="1" x14ac:dyDescent="0.35">
      <c r="A131" s="7" t="s">
        <v>74</v>
      </c>
      <c r="B131" s="7" t="s">
        <v>73</v>
      </c>
      <c r="C131" s="7" t="s">
        <v>70</v>
      </c>
      <c r="D131" s="7"/>
      <c r="E131" s="7" t="s">
        <v>356</v>
      </c>
      <c r="F131" s="7" t="s">
        <v>360</v>
      </c>
      <c r="G131" s="7">
        <v>85809.9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</row>
    <row r="132" spans="1:21" hidden="1" x14ac:dyDescent="0.35">
      <c r="A132" s="7" t="s">
        <v>62</v>
      </c>
      <c r="B132" s="7" t="s">
        <v>61</v>
      </c>
      <c r="C132" s="7" t="s">
        <v>40</v>
      </c>
      <c r="D132" s="7" t="s">
        <v>361</v>
      </c>
      <c r="E132" s="7" t="s">
        <v>353</v>
      </c>
      <c r="F132" s="7" t="s">
        <v>360</v>
      </c>
      <c r="G132" s="7">
        <v>36417.870000000003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</row>
    <row r="133" spans="1:21" hidden="1" x14ac:dyDescent="0.35">
      <c r="A133" s="7" t="s">
        <v>189</v>
      </c>
      <c r="B133" s="7" t="s">
        <v>188</v>
      </c>
      <c r="C133" s="7" t="s">
        <v>65</v>
      </c>
      <c r="D133" s="7" t="s">
        <v>362</v>
      </c>
      <c r="E133" s="7" t="s">
        <v>353</v>
      </c>
      <c r="F133" s="7" t="s">
        <v>359</v>
      </c>
      <c r="G133" s="7">
        <v>11878.55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</row>
    <row r="134" spans="1:21" hidden="1" x14ac:dyDescent="0.35">
      <c r="A134" s="7" t="s">
        <v>117</v>
      </c>
      <c r="B134" s="7" t="s">
        <v>116</v>
      </c>
      <c r="C134" s="7" t="s">
        <v>65</v>
      </c>
      <c r="D134" s="7" t="s">
        <v>368</v>
      </c>
      <c r="E134" s="7" t="s">
        <v>353</v>
      </c>
      <c r="F134" s="7" t="s">
        <v>359</v>
      </c>
      <c r="G134" s="7">
        <v>16385.509999999998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</row>
    <row r="135" spans="1:21" x14ac:dyDescent="0.35">
      <c r="A135" s="7" t="s">
        <v>181</v>
      </c>
      <c r="B135" s="7" t="s">
        <v>180</v>
      </c>
      <c r="C135" s="7" t="s">
        <v>98</v>
      </c>
      <c r="D135" s="7" t="s">
        <v>367</v>
      </c>
      <c r="E135" s="7" t="s">
        <v>353</v>
      </c>
      <c r="F135" s="7" t="s">
        <v>359</v>
      </c>
      <c r="G135" s="7">
        <v>4214.8900000000003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</row>
    <row r="136" spans="1:21" x14ac:dyDescent="0.35">
      <c r="A136" s="7" t="s">
        <v>249</v>
      </c>
      <c r="B136" s="7" t="s">
        <v>248</v>
      </c>
      <c r="C136" s="7" t="s">
        <v>98</v>
      </c>
      <c r="D136" s="7" t="s">
        <v>367</v>
      </c>
      <c r="E136" s="7" t="s">
        <v>353</v>
      </c>
      <c r="F136" s="7" t="s">
        <v>359</v>
      </c>
      <c r="G136" s="7">
        <v>5928.08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</row>
    <row r="137" spans="1:21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</row>
    <row r="138" spans="1:21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</row>
    <row r="139" spans="1:21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</row>
    <row r="140" spans="1:21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</row>
    <row r="141" spans="1:21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</row>
    <row r="142" spans="1:21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</row>
    <row r="143" spans="1:21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</row>
    <row r="144" spans="1:21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</row>
    <row r="145" spans="1:21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</row>
    <row r="146" spans="1:21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</row>
    <row r="147" spans="1:21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</row>
    <row r="148" spans="1:21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</row>
    <row r="149" spans="1:21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</row>
    <row r="150" spans="1:21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</row>
    <row r="151" spans="1:21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</row>
    <row r="152" spans="1:21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</row>
    <row r="153" spans="1:21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</row>
    <row r="154" spans="1:21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</row>
    <row r="155" spans="1:21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</row>
    <row r="156" spans="1:21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</row>
    <row r="157" spans="1:21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</row>
    <row r="158" spans="1:21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</row>
    <row r="159" spans="1:21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</row>
    <row r="160" spans="1:21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</row>
    <row r="161" spans="1:21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</row>
    <row r="162" spans="1:21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</row>
    <row r="163" spans="1:21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</row>
    <row r="164" spans="1:21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</row>
    <row r="165" spans="1:21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</row>
    <row r="166" spans="1:21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</row>
    <row r="167" spans="1:21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</row>
    <row r="168" spans="1:21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</row>
    <row r="169" spans="1:21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</row>
    <row r="170" spans="1:21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</row>
    <row r="171" spans="1:21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</row>
    <row r="172" spans="1:21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</row>
    <row r="173" spans="1:21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</row>
    <row r="174" spans="1:21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</row>
    <row r="175" spans="1:21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</row>
    <row r="176" spans="1:21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</row>
    <row r="177" spans="1:21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</row>
    <row r="178" spans="1:21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</row>
    <row r="179" spans="1:21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</row>
    <row r="180" spans="1:21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</row>
    <row r="181" spans="1:21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</row>
    <row r="182" spans="1:21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</row>
    <row r="183" spans="1:21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</row>
    <row r="184" spans="1:21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</row>
    <row r="185" spans="1:21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</row>
    <row r="186" spans="1:21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</row>
    <row r="187" spans="1:21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</row>
    <row r="188" spans="1:21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</row>
    <row r="189" spans="1:21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</row>
    <row r="190" spans="1:21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</row>
    <row r="191" spans="1:21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</row>
    <row r="192" spans="1:21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</row>
    <row r="193" spans="1:21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</row>
    <row r="194" spans="1:21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</row>
    <row r="195" spans="1:21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</row>
    <row r="196" spans="1:21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</row>
    <row r="197" spans="1:21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</row>
    <row r="198" spans="1:21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</row>
    <row r="199" spans="1:21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</row>
    <row r="200" spans="1:21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</row>
    <row r="201" spans="1:21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</row>
    <row r="202" spans="1:21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</row>
    <row r="203" spans="1:21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</row>
    <row r="204" spans="1:21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</row>
    <row r="205" spans="1:21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</row>
    <row r="206" spans="1:21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</row>
    <row r="207" spans="1:21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</row>
    <row r="208" spans="1:21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</row>
    <row r="209" spans="1:21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</row>
    <row r="210" spans="1:21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</row>
    <row r="211" spans="1:21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</row>
    <row r="212" spans="1:21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</row>
    <row r="213" spans="1:21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</row>
    <row r="214" spans="1:21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</row>
    <row r="215" spans="1:21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</row>
    <row r="216" spans="1:21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</row>
    <row r="217" spans="1:21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</row>
    <row r="218" spans="1:21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</row>
    <row r="219" spans="1:21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</row>
    <row r="220" spans="1:21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</row>
    <row r="221" spans="1:21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</row>
    <row r="222" spans="1:21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</row>
    <row r="223" spans="1:21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</row>
    <row r="224" spans="1:21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</row>
    <row r="225" spans="1:21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</row>
    <row r="226" spans="1:21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</row>
    <row r="227" spans="1:21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</row>
    <row r="228" spans="1:21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</row>
    <row r="229" spans="1:21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</row>
    <row r="230" spans="1:21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</row>
    <row r="231" spans="1:21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</row>
    <row r="232" spans="1:21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</row>
    <row r="233" spans="1:21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</row>
    <row r="234" spans="1:21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</row>
    <row r="235" spans="1:21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</row>
    <row r="236" spans="1:21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</row>
    <row r="237" spans="1:21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</row>
    <row r="238" spans="1:21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</row>
    <row r="239" spans="1:21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</row>
    <row r="240" spans="1:21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</row>
    <row r="241" spans="1:21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</row>
    <row r="242" spans="1:21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</row>
    <row r="243" spans="1:21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</row>
    <row r="244" spans="1:21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</row>
    <row r="245" spans="1:21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</row>
    <row r="246" spans="1:21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</row>
    <row r="247" spans="1:21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</row>
    <row r="248" spans="1:21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</row>
    <row r="249" spans="1:21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</row>
    <row r="250" spans="1:21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</row>
    <row r="251" spans="1:21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</row>
    <row r="252" spans="1:21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</row>
    <row r="253" spans="1:21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</row>
    <row r="254" spans="1:21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</row>
    <row r="255" spans="1:21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</row>
    <row r="256" spans="1:21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</row>
    <row r="257" spans="1:21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</row>
    <row r="258" spans="1:21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</row>
    <row r="259" spans="1:21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</row>
    <row r="260" spans="1:21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</row>
    <row r="261" spans="1:21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</row>
    <row r="262" spans="1:21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</row>
    <row r="263" spans="1:21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</row>
    <row r="264" spans="1:21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</row>
    <row r="265" spans="1:21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</row>
    <row r="266" spans="1:21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</row>
    <row r="267" spans="1:21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</row>
    <row r="268" spans="1:21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</row>
    <row r="269" spans="1:21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</row>
    <row r="270" spans="1:21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</row>
    <row r="271" spans="1:21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</row>
    <row r="272" spans="1:21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</row>
    <row r="273" spans="1:21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</row>
    <row r="274" spans="1:21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</row>
    <row r="275" spans="1:21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</row>
    <row r="276" spans="1:21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</row>
    <row r="277" spans="1:21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</row>
    <row r="278" spans="1:21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</row>
    <row r="279" spans="1:21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</row>
    <row r="280" spans="1:21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</row>
    <row r="281" spans="1:21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</row>
    <row r="282" spans="1:21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</row>
    <row r="283" spans="1:21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</row>
    <row r="284" spans="1:21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</row>
    <row r="285" spans="1:21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</row>
    <row r="286" spans="1:21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</row>
    <row r="287" spans="1:21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</row>
    <row r="288" spans="1:21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</row>
    <row r="289" spans="1:21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</row>
    <row r="290" spans="1:21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</row>
    <row r="291" spans="1:21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</row>
    <row r="292" spans="1:21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</row>
    <row r="293" spans="1:21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</row>
    <row r="294" spans="1:21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</row>
    <row r="295" spans="1:21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</row>
    <row r="296" spans="1:21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</row>
    <row r="297" spans="1:21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</row>
    <row r="298" spans="1:21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</row>
    <row r="299" spans="1:21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</row>
    <row r="300" spans="1:21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</row>
    <row r="301" spans="1:21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</row>
    <row r="302" spans="1:21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</row>
    <row r="303" spans="1:21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</row>
    <row r="304" spans="1:21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</row>
    <row r="305" spans="1:21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</row>
    <row r="306" spans="1:21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</row>
    <row r="307" spans="1:21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</row>
    <row r="308" spans="1:21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</row>
    <row r="309" spans="1:21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</row>
    <row r="310" spans="1:21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</row>
    <row r="311" spans="1:21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</row>
    <row r="312" spans="1:21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</row>
    <row r="313" spans="1:21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</row>
    <row r="314" spans="1:21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</row>
    <row r="315" spans="1:21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</row>
    <row r="316" spans="1:21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</row>
    <row r="317" spans="1:21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</row>
    <row r="318" spans="1:21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</row>
    <row r="319" spans="1:21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</row>
    <row r="320" spans="1:21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</row>
    <row r="321" spans="1:21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</row>
    <row r="322" spans="1:21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</row>
    <row r="323" spans="1:21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</row>
    <row r="324" spans="1:21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</row>
    <row r="325" spans="1:21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</row>
    <row r="326" spans="1:21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</row>
    <row r="327" spans="1:21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</row>
    <row r="328" spans="1:21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</row>
    <row r="329" spans="1:21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</row>
    <row r="330" spans="1:21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</row>
    <row r="331" spans="1:21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</row>
    <row r="332" spans="1:21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</row>
    <row r="333" spans="1:21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</row>
    <row r="334" spans="1:21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</row>
    <row r="335" spans="1:21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</row>
    <row r="336" spans="1:21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</row>
    <row r="337" spans="1:21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</row>
    <row r="338" spans="1:21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</row>
    <row r="339" spans="1:21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</row>
    <row r="340" spans="1:21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</row>
    <row r="341" spans="1:21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</row>
    <row r="342" spans="1:21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</row>
    <row r="343" spans="1:21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</row>
    <row r="344" spans="1:21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</row>
    <row r="345" spans="1:21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</row>
    <row r="346" spans="1:21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</row>
    <row r="347" spans="1:21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</row>
    <row r="348" spans="1:21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</row>
    <row r="349" spans="1:21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</row>
    <row r="350" spans="1:21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</row>
    <row r="351" spans="1:21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</row>
    <row r="352" spans="1:21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</row>
    <row r="353" spans="1:21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</row>
    <row r="354" spans="1:21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</row>
    <row r="355" spans="1:21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</row>
    <row r="356" spans="1:21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</row>
    <row r="357" spans="1:21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</row>
    <row r="358" spans="1:21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</row>
    <row r="359" spans="1:21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</row>
    <row r="360" spans="1:21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</row>
    <row r="361" spans="1:21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</row>
    <row r="362" spans="1:21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</row>
    <row r="363" spans="1:21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</row>
    <row r="364" spans="1:21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</row>
    <row r="365" spans="1:21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</row>
    <row r="366" spans="1:21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</row>
    <row r="367" spans="1:21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</row>
    <row r="368" spans="1:21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</row>
    <row r="369" spans="1:21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</row>
    <row r="370" spans="1:21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</row>
    <row r="371" spans="1:21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</row>
    <row r="372" spans="1:21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</row>
    <row r="373" spans="1:21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</row>
    <row r="374" spans="1:21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</row>
    <row r="375" spans="1:21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</row>
    <row r="376" spans="1:21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</row>
    <row r="377" spans="1:21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</row>
    <row r="378" spans="1:21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</row>
    <row r="379" spans="1:21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</row>
    <row r="380" spans="1:21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</row>
    <row r="381" spans="1:21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</row>
    <row r="382" spans="1:21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</row>
    <row r="383" spans="1:21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</row>
    <row r="384" spans="1:21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</row>
    <row r="385" spans="1:21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</row>
    <row r="386" spans="1:21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</row>
    <row r="387" spans="1:21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</row>
    <row r="388" spans="1:21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</row>
    <row r="389" spans="1:21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</row>
    <row r="390" spans="1:21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</row>
    <row r="391" spans="1:21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</row>
    <row r="392" spans="1:21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</row>
    <row r="393" spans="1:21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</row>
    <row r="394" spans="1:21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</row>
    <row r="395" spans="1:21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</row>
    <row r="396" spans="1:21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</row>
    <row r="397" spans="1:21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</row>
    <row r="398" spans="1:21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</row>
    <row r="399" spans="1:21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</row>
    <row r="400" spans="1:21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</row>
    <row r="401" spans="1:21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</row>
    <row r="402" spans="1:21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</row>
    <row r="403" spans="1:21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</row>
    <row r="404" spans="1:21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</row>
    <row r="405" spans="1:21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</row>
    <row r="406" spans="1:21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</row>
    <row r="407" spans="1:21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</row>
    <row r="408" spans="1:21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</row>
    <row r="409" spans="1:21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</row>
    <row r="410" spans="1:21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</row>
    <row r="411" spans="1:21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</row>
    <row r="412" spans="1:21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</row>
    <row r="413" spans="1:21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</row>
    <row r="414" spans="1:21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</row>
    <row r="415" spans="1:21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</row>
    <row r="416" spans="1:21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</row>
    <row r="417" spans="1:21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</row>
    <row r="418" spans="1:21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</row>
    <row r="419" spans="1:21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</row>
    <row r="420" spans="1:21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</row>
    <row r="421" spans="1:21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</row>
    <row r="422" spans="1:21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</row>
    <row r="423" spans="1:21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</row>
    <row r="424" spans="1:21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</row>
    <row r="425" spans="1:21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</row>
    <row r="426" spans="1:21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</row>
    <row r="427" spans="1:21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</row>
    <row r="428" spans="1:21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</row>
    <row r="429" spans="1:21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</row>
    <row r="430" spans="1:21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</row>
    <row r="431" spans="1:21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</row>
    <row r="432" spans="1:21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</row>
    <row r="433" spans="1:21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</row>
    <row r="434" spans="1:21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</row>
    <row r="435" spans="1:21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</row>
    <row r="436" spans="1:21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</row>
    <row r="437" spans="1:21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</row>
    <row r="438" spans="1:21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</row>
    <row r="439" spans="1:21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</row>
    <row r="440" spans="1:21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</row>
    <row r="441" spans="1:21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</row>
    <row r="442" spans="1:21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</row>
    <row r="443" spans="1:21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</row>
    <row r="444" spans="1:21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</row>
    <row r="445" spans="1:21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</row>
    <row r="446" spans="1:21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</row>
    <row r="447" spans="1:21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</row>
    <row r="448" spans="1:21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</row>
    <row r="449" spans="1:21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</row>
    <row r="450" spans="1:21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</row>
    <row r="451" spans="1:21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</row>
    <row r="452" spans="1:21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</row>
    <row r="453" spans="1:21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</row>
    <row r="454" spans="1:21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</row>
    <row r="455" spans="1:21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</row>
    <row r="456" spans="1:21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</row>
    <row r="457" spans="1:21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</row>
    <row r="458" spans="1:21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</row>
    <row r="459" spans="1:21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</row>
    <row r="460" spans="1:21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</row>
    <row r="461" spans="1:21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</row>
    <row r="462" spans="1:21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</row>
    <row r="463" spans="1:21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</row>
    <row r="464" spans="1:21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</row>
    <row r="465" spans="1:21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</row>
    <row r="466" spans="1:21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</row>
    <row r="467" spans="1:21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</row>
    <row r="468" spans="1:21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</row>
    <row r="469" spans="1:21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</row>
    <row r="470" spans="1:21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</row>
    <row r="471" spans="1:21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</row>
    <row r="472" spans="1:21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</row>
    <row r="473" spans="1:21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</row>
    <row r="474" spans="1:21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</row>
    <row r="475" spans="1:21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</row>
    <row r="476" spans="1:21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</row>
    <row r="477" spans="1:21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</row>
    <row r="478" spans="1:21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</row>
    <row r="479" spans="1:21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</row>
    <row r="480" spans="1:21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</row>
    <row r="481" spans="1:21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</row>
    <row r="482" spans="1:21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</row>
    <row r="483" spans="1:21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</row>
    <row r="484" spans="1:21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</row>
    <row r="485" spans="1:21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</row>
    <row r="486" spans="1:21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</row>
    <row r="487" spans="1:21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</row>
    <row r="488" spans="1:21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</row>
    <row r="489" spans="1:21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</row>
    <row r="490" spans="1:21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</row>
    <row r="491" spans="1:21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</row>
    <row r="492" spans="1:21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</row>
    <row r="493" spans="1:21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</row>
    <row r="494" spans="1:21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</row>
    <row r="495" spans="1:21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</row>
    <row r="496" spans="1:21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</row>
    <row r="497" spans="1:21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</row>
    <row r="498" spans="1:21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</row>
    <row r="499" spans="1:21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</row>
    <row r="500" spans="1:21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</row>
    <row r="501" spans="1:21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</row>
    <row r="502" spans="1:21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</row>
    <row r="503" spans="1:21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</row>
    <row r="504" spans="1:21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</row>
    <row r="505" spans="1:21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</row>
    <row r="506" spans="1:21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</row>
    <row r="507" spans="1:21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</row>
    <row r="508" spans="1:21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</row>
    <row r="509" spans="1:21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</row>
    <row r="510" spans="1:21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</row>
    <row r="511" spans="1:21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</row>
    <row r="512" spans="1:21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</row>
    <row r="513" spans="1:21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</row>
    <row r="514" spans="1:21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</row>
    <row r="515" spans="1:21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</row>
    <row r="516" spans="1:21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</row>
    <row r="517" spans="1:21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</row>
    <row r="518" spans="1:21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</row>
    <row r="519" spans="1:21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</row>
    <row r="520" spans="1:21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</row>
    <row r="521" spans="1:21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</row>
    <row r="522" spans="1:21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</row>
    <row r="523" spans="1:21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</row>
    <row r="524" spans="1:21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</row>
    <row r="525" spans="1:21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</row>
    <row r="526" spans="1:21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</row>
    <row r="527" spans="1:21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</row>
    <row r="528" spans="1:21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</row>
    <row r="529" spans="1:21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</row>
    <row r="530" spans="1:21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</row>
    <row r="531" spans="1:21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</row>
    <row r="532" spans="1:21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</row>
    <row r="533" spans="1:21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</row>
    <row r="534" spans="1:21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</row>
    <row r="535" spans="1:21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</row>
    <row r="536" spans="1:21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</row>
    <row r="537" spans="1:21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</row>
    <row r="538" spans="1:21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</row>
    <row r="539" spans="1:21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</row>
    <row r="540" spans="1:21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</row>
    <row r="541" spans="1:21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</row>
    <row r="542" spans="1:21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</row>
    <row r="543" spans="1:21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</row>
    <row r="544" spans="1:21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</row>
    <row r="545" spans="1:21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</row>
    <row r="546" spans="1:21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</row>
    <row r="547" spans="1:21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</row>
    <row r="548" spans="1:21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</row>
    <row r="549" spans="1:21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</row>
    <row r="550" spans="1:21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</row>
    <row r="551" spans="1:21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</row>
    <row r="552" spans="1:21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</row>
    <row r="553" spans="1:21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</row>
    <row r="554" spans="1:21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</row>
    <row r="555" spans="1:21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</row>
    <row r="556" spans="1:21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</row>
    <row r="557" spans="1:21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</row>
    <row r="558" spans="1:21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</row>
    <row r="559" spans="1:21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</row>
    <row r="560" spans="1:21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</row>
    <row r="561" spans="1:21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</row>
    <row r="562" spans="1:21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</row>
    <row r="563" spans="1:21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</row>
    <row r="564" spans="1:21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</row>
    <row r="565" spans="1:21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</row>
    <row r="566" spans="1:21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</row>
    <row r="567" spans="1:21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</row>
    <row r="568" spans="1:21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</row>
    <row r="569" spans="1:21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</row>
    <row r="570" spans="1:21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</row>
    <row r="571" spans="1:21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</row>
    <row r="572" spans="1:21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</row>
    <row r="573" spans="1:21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</row>
    <row r="574" spans="1:21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</row>
    <row r="575" spans="1:21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</row>
    <row r="576" spans="1:21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</row>
    <row r="577" spans="1:21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</row>
    <row r="578" spans="1:21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</row>
    <row r="579" spans="1:21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</row>
    <row r="580" spans="1:21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</row>
    <row r="581" spans="1:21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</row>
    <row r="582" spans="1:21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</row>
    <row r="583" spans="1:21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</row>
    <row r="584" spans="1:21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</row>
    <row r="585" spans="1:21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</row>
    <row r="586" spans="1:21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</row>
    <row r="587" spans="1:21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</row>
    <row r="588" spans="1:21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</row>
    <row r="589" spans="1:21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</row>
    <row r="590" spans="1:21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</row>
    <row r="591" spans="1:21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</row>
    <row r="592" spans="1:21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</row>
    <row r="593" spans="1:21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</row>
    <row r="594" spans="1:21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</row>
    <row r="595" spans="1:21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</row>
    <row r="596" spans="1:21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</row>
    <row r="597" spans="1:21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</row>
    <row r="598" spans="1:21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</row>
    <row r="599" spans="1:21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</row>
    <row r="600" spans="1:21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</row>
    <row r="601" spans="1:21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</row>
    <row r="602" spans="1:21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</row>
    <row r="603" spans="1:21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</row>
    <row r="604" spans="1:21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</row>
    <row r="605" spans="1:21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</row>
    <row r="606" spans="1:21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</row>
    <row r="607" spans="1:21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</row>
    <row r="608" spans="1:21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</row>
    <row r="609" spans="1:21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</row>
    <row r="610" spans="1:21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</row>
    <row r="611" spans="1:21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</row>
    <row r="612" spans="1:21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</row>
    <row r="613" spans="1:21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</row>
    <row r="614" spans="1:21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</row>
    <row r="615" spans="1:21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</row>
    <row r="616" spans="1:21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</row>
    <row r="617" spans="1:21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</row>
    <row r="618" spans="1:21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</row>
    <row r="619" spans="1:21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</row>
    <row r="620" spans="1:21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</row>
    <row r="621" spans="1:21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</row>
    <row r="622" spans="1:21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</row>
    <row r="623" spans="1:21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</row>
    <row r="624" spans="1:21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</row>
    <row r="625" spans="1:21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</row>
    <row r="626" spans="1:21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</row>
    <row r="627" spans="1:21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</row>
    <row r="628" spans="1:21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</row>
    <row r="629" spans="1:21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</row>
    <row r="630" spans="1:21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</row>
    <row r="631" spans="1:21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</row>
    <row r="632" spans="1:21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</row>
    <row r="633" spans="1:21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</row>
    <row r="634" spans="1:21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</row>
    <row r="635" spans="1:21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</row>
    <row r="636" spans="1:21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</row>
    <row r="637" spans="1:21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</row>
    <row r="638" spans="1:21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</row>
    <row r="639" spans="1:21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</row>
    <row r="640" spans="1:21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</row>
    <row r="641" spans="1:21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</row>
    <row r="642" spans="1:21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</row>
    <row r="643" spans="1:21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</row>
    <row r="644" spans="1:21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</row>
    <row r="645" spans="1:21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</row>
    <row r="646" spans="1:21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</row>
    <row r="647" spans="1:21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</row>
    <row r="648" spans="1:21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</row>
    <row r="649" spans="1:21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</row>
    <row r="650" spans="1:21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</row>
    <row r="651" spans="1:21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</row>
    <row r="652" spans="1:21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</row>
    <row r="653" spans="1:21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</row>
    <row r="654" spans="1:21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</row>
    <row r="655" spans="1:21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</row>
    <row r="656" spans="1:21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</row>
    <row r="657" spans="1:21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</row>
    <row r="658" spans="1:21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</row>
    <row r="659" spans="1:21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</row>
    <row r="660" spans="1:21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</row>
    <row r="661" spans="1:21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</row>
    <row r="662" spans="1:21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</row>
    <row r="663" spans="1:21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</row>
    <row r="664" spans="1:21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</row>
    <row r="665" spans="1:21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</row>
    <row r="666" spans="1:21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</row>
    <row r="667" spans="1:21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</row>
    <row r="668" spans="1:21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</row>
    <row r="669" spans="1:21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</row>
    <row r="670" spans="1:21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</row>
    <row r="671" spans="1:21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</row>
    <row r="672" spans="1:21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</row>
    <row r="673" spans="1:21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</row>
    <row r="674" spans="1:21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</row>
    <row r="675" spans="1:21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</row>
    <row r="676" spans="1:21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</row>
    <row r="677" spans="1:21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</row>
    <row r="678" spans="1:21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</row>
    <row r="679" spans="1:21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</row>
    <row r="680" spans="1:21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</row>
    <row r="681" spans="1:21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</row>
    <row r="682" spans="1:21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</row>
    <row r="683" spans="1:21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</row>
    <row r="684" spans="1:21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</row>
    <row r="685" spans="1:21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</row>
    <row r="686" spans="1:21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</row>
    <row r="687" spans="1:21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</row>
    <row r="688" spans="1:21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</row>
    <row r="689" spans="1:21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</row>
    <row r="690" spans="1:21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</row>
    <row r="691" spans="1:21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</row>
    <row r="692" spans="1:21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</row>
    <row r="693" spans="1:21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</row>
    <row r="694" spans="1:21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</row>
    <row r="695" spans="1:21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</row>
    <row r="696" spans="1:21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</row>
    <row r="697" spans="1:21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</row>
    <row r="698" spans="1:21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</row>
    <row r="699" spans="1:21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</row>
    <row r="700" spans="1:21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</row>
    <row r="701" spans="1:21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</row>
    <row r="702" spans="1:21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</row>
    <row r="703" spans="1:21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</row>
    <row r="704" spans="1:21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</row>
    <row r="705" spans="1:21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</row>
    <row r="706" spans="1:21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</row>
    <row r="707" spans="1:21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</row>
    <row r="708" spans="1:21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</row>
    <row r="709" spans="1:21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</row>
    <row r="710" spans="1:21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</row>
    <row r="711" spans="1:21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</row>
    <row r="712" spans="1:21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</row>
    <row r="713" spans="1:21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</row>
    <row r="714" spans="1:21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</row>
    <row r="715" spans="1:21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</row>
    <row r="716" spans="1:21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</row>
    <row r="717" spans="1:21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</row>
    <row r="718" spans="1:21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</row>
    <row r="719" spans="1:21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</row>
    <row r="720" spans="1:21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</row>
    <row r="721" spans="1:21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</row>
    <row r="722" spans="1:21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</row>
    <row r="723" spans="1:21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</row>
    <row r="724" spans="1:21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</row>
    <row r="725" spans="1:21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</row>
    <row r="726" spans="1:21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</row>
    <row r="727" spans="1:21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</row>
    <row r="728" spans="1:21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</row>
    <row r="729" spans="1:21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</row>
    <row r="730" spans="1:21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</row>
    <row r="731" spans="1:21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</row>
    <row r="732" spans="1:21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</row>
    <row r="733" spans="1:21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</row>
    <row r="734" spans="1:21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</row>
    <row r="735" spans="1:21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</row>
    <row r="736" spans="1:21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</row>
    <row r="737" spans="1:21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</row>
    <row r="738" spans="1:21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</row>
    <row r="739" spans="1:21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</row>
    <row r="740" spans="1:21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</row>
    <row r="741" spans="1:21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</row>
    <row r="742" spans="1:21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</row>
    <row r="743" spans="1:21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</row>
    <row r="744" spans="1:21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</row>
    <row r="745" spans="1:21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</row>
    <row r="746" spans="1:21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</row>
    <row r="747" spans="1:21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</row>
    <row r="748" spans="1:21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</row>
    <row r="749" spans="1:21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</row>
    <row r="750" spans="1:21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</row>
    <row r="751" spans="1:21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</row>
    <row r="752" spans="1:21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</row>
    <row r="753" spans="1:21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</row>
    <row r="754" spans="1:21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</row>
    <row r="755" spans="1:21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</row>
    <row r="756" spans="1:21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</row>
    <row r="757" spans="1:21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</row>
    <row r="758" spans="1:21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</row>
    <row r="759" spans="1:21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</row>
    <row r="760" spans="1:21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</row>
    <row r="761" spans="1:21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</row>
    <row r="762" spans="1:21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</row>
    <row r="763" spans="1:21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</row>
    <row r="764" spans="1:21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</row>
    <row r="765" spans="1:21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</row>
    <row r="766" spans="1:21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</row>
    <row r="767" spans="1:21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</row>
    <row r="768" spans="1:21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</row>
    <row r="769" spans="1:21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</row>
    <row r="770" spans="1:21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</row>
    <row r="771" spans="1:21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</row>
    <row r="772" spans="1:21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</row>
    <row r="773" spans="1:21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</row>
    <row r="774" spans="1:21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</row>
    <row r="775" spans="1:21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</row>
    <row r="776" spans="1:21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</row>
    <row r="777" spans="1:21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</row>
    <row r="778" spans="1:21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</row>
    <row r="779" spans="1:21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</row>
    <row r="780" spans="1:21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</row>
    <row r="781" spans="1:21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</row>
    <row r="782" spans="1:21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</row>
    <row r="783" spans="1:21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</row>
    <row r="784" spans="1:21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</row>
    <row r="785" spans="1:21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</row>
    <row r="786" spans="1:21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</row>
    <row r="787" spans="1:21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</row>
    <row r="788" spans="1:21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</row>
    <row r="789" spans="1:21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</row>
    <row r="790" spans="1:21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</row>
    <row r="791" spans="1:21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</row>
    <row r="792" spans="1:21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</row>
    <row r="793" spans="1:21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</row>
    <row r="794" spans="1:21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</row>
    <row r="795" spans="1:21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</row>
    <row r="796" spans="1:21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</row>
    <row r="797" spans="1:21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</row>
    <row r="798" spans="1:21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</row>
    <row r="799" spans="1:21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</row>
    <row r="800" spans="1:21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</row>
    <row r="801" spans="1:21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</row>
    <row r="802" spans="1:21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</row>
    <row r="803" spans="1:21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</row>
    <row r="804" spans="1:21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</row>
    <row r="805" spans="1:21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</row>
    <row r="806" spans="1:21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</row>
    <row r="807" spans="1:21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</row>
    <row r="808" spans="1:21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</row>
    <row r="809" spans="1:21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</row>
    <row r="810" spans="1:21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</row>
    <row r="811" spans="1:21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</row>
    <row r="812" spans="1:21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</row>
    <row r="813" spans="1:21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</row>
    <row r="814" spans="1:21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</row>
    <row r="815" spans="1:21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</row>
    <row r="816" spans="1:21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</row>
    <row r="817" spans="1:21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</row>
    <row r="818" spans="1:21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</row>
    <row r="819" spans="1:21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</row>
    <row r="820" spans="1:21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</row>
    <row r="821" spans="1:21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</row>
    <row r="822" spans="1:21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</row>
    <row r="823" spans="1:21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</row>
    <row r="824" spans="1:21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</row>
    <row r="825" spans="1:21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</row>
    <row r="826" spans="1:21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</row>
    <row r="827" spans="1:21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</row>
    <row r="828" spans="1:21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</row>
    <row r="829" spans="1:21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</row>
    <row r="830" spans="1:21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</row>
    <row r="831" spans="1:21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</row>
    <row r="832" spans="1:21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</row>
    <row r="833" spans="1:21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</row>
    <row r="834" spans="1:21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</row>
    <row r="835" spans="1:21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</row>
    <row r="836" spans="1:21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</row>
    <row r="837" spans="1:21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</row>
    <row r="838" spans="1:21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</row>
    <row r="839" spans="1:21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</row>
    <row r="840" spans="1:21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</row>
    <row r="841" spans="1:21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</row>
    <row r="842" spans="1:21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</row>
    <row r="843" spans="1:21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</row>
    <row r="844" spans="1:21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</row>
    <row r="845" spans="1:21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</row>
    <row r="846" spans="1:21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</row>
    <row r="847" spans="1:21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</row>
    <row r="848" spans="1:21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</row>
    <row r="849" spans="1:21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</row>
    <row r="850" spans="1:21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</row>
    <row r="851" spans="1:21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</row>
    <row r="852" spans="1:21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</row>
    <row r="853" spans="1:21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</row>
    <row r="854" spans="1:21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</row>
    <row r="855" spans="1:21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</row>
    <row r="856" spans="1:21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</row>
    <row r="857" spans="1:21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</row>
    <row r="858" spans="1:21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</row>
    <row r="859" spans="1:21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</row>
    <row r="860" spans="1:21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</row>
    <row r="861" spans="1:21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</row>
    <row r="862" spans="1:21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</row>
    <row r="863" spans="1:21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</row>
    <row r="864" spans="1:21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</row>
    <row r="865" spans="1:21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</row>
    <row r="866" spans="1:21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</row>
    <row r="867" spans="1:21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</row>
    <row r="868" spans="1:21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</row>
    <row r="869" spans="1:21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</row>
    <row r="870" spans="1:21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</row>
    <row r="871" spans="1:21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</row>
    <row r="872" spans="1:21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</row>
    <row r="873" spans="1:21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</row>
    <row r="874" spans="1:21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</row>
    <row r="875" spans="1:21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</row>
    <row r="876" spans="1:21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</row>
    <row r="877" spans="1:21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</row>
    <row r="878" spans="1:21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</row>
    <row r="879" spans="1:21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</row>
    <row r="880" spans="1:21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</row>
    <row r="881" spans="1:21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</row>
    <row r="882" spans="1:21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</row>
    <row r="883" spans="1:21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</row>
    <row r="884" spans="1:21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</row>
    <row r="885" spans="1:21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</row>
    <row r="886" spans="1:21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</row>
    <row r="887" spans="1:21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</row>
    <row r="888" spans="1:21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</row>
    <row r="889" spans="1:21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</row>
    <row r="890" spans="1:21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</row>
    <row r="891" spans="1:21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</row>
    <row r="892" spans="1:21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</row>
    <row r="893" spans="1:21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</row>
    <row r="894" spans="1:21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</row>
    <row r="895" spans="1:21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</row>
    <row r="896" spans="1:21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</row>
    <row r="897" spans="1:21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</row>
    <row r="898" spans="1:21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</row>
    <row r="899" spans="1:21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</row>
    <row r="900" spans="1:21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</row>
    <row r="901" spans="1:21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</row>
    <row r="902" spans="1:21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</row>
    <row r="903" spans="1:21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</row>
    <row r="904" spans="1:21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</row>
    <row r="905" spans="1:21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</row>
    <row r="906" spans="1:21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</row>
    <row r="907" spans="1:21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</row>
    <row r="908" spans="1:21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</row>
    <row r="909" spans="1:21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</row>
    <row r="910" spans="1:21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</row>
    <row r="911" spans="1:21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</row>
    <row r="912" spans="1:21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</row>
    <row r="913" spans="1:21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</row>
    <row r="914" spans="1:21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</row>
    <row r="915" spans="1:21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</row>
    <row r="916" spans="1:21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</row>
    <row r="917" spans="1:21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</row>
    <row r="918" spans="1:21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</row>
    <row r="919" spans="1:21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</row>
    <row r="920" spans="1:21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</row>
    <row r="921" spans="1:21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</row>
    <row r="922" spans="1:21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</row>
    <row r="923" spans="1:21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</row>
    <row r="924" spans="1:21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</row>
    <row r="925" spans="1:21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</row>
    <row r="926" spans="1:21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</row>
    <row r="927" spans="1:21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</row>
    <row r="928" spans="1:21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</row>
    <row r="929" spans="1:21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</row>
    <row r="930" spans="1:21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</row>
    <row r="931" spans="1:21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</row>
    <row r="932" spans="1:21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</row>
    <row r="933" spans="1:21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</row>
    <row r="934" spans="1:21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</row>
    <row r="935" spans="1:21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</row>
    <row r="936" spans="1:21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</row>
    <row r="937" spans="1:21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</row>
    <row r="938" spans="1:21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</row>
    <row r="939" spans="1:21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</row>
    <row r="940" spans="1:21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</row>
    <row r="941" spans="1:21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</row>
    <row r="942" spans="1:21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</row>
    <row r="943" spans="1:21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</row>
    <row r="944" spans="1:21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</row>
    <row r="945" spans="1:21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</row>
    <row r="946" spans="1:21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</row>
    <row r="947" spans="1:21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</row>
    <row r="948" spans="1:21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</row>
    <row r="949" spans="1:21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</row>
    <row r="950" spans="1:21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</row>
    <row r="951" spans="1:21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</row>
    <row r="952" spans="1:21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</row>
    <row r="953" spans="1:21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</row>
    <row r="954" spans="1:21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</row>
    <row r="955" spans="1:21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</row>
    <row r="956" spans="1:21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</row>
    <row r="957" spans="1:21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</row>
    <row r="958" spans="1:21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</row>
    <row r="959" spans="1:21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</row>
    <row r="960" spans="1:21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</row>
    <row r="961" spans="1:21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</row>
    <row r="962" spans="1:21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</row>
    <row r="963" spans="1:21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</row>
    <row r="964" spans="1:21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</row>
    <row r="965" spans="1:21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</row>
    <row r="966" spans="1:21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</row>
    <row r="967" spans="1:21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</row>
    <row r="968" spans="1:21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</row>
    <row r="969" spans="1:21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</row>
    <row r="970" spans="1:21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</row>
    <row r="971" spans="1:21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</row>
    <row r="972" spans="1:21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</row>
    <row r="973" spans="1:21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</row>
    <row r="974" spans="1:21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</row>
    <row r="975" spans="1:21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</row>
    <row r="976" spans="1:21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</row>
    <row r="977" spans="1:21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</row>
    <row r="978" spans="1:21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</row>
    <row r="979" spans="1:21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</row>
    <row r="980" spans="1:21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</row>
    <row r="981" spans="1:21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</row>
    <row r="982" spans="1:21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</row>
    <row r="983" spans="1:21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</row>
    <row r="984" spans="1:21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</row>
    <row r="985" spans="1:21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</row>
    <row r="986" spans="1:21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</row>
    <row r="987" spans="1:21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</row>
    <row r="988" spans="1:21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</row>
    <row r="989" spans="1:21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</row>
    <row r="990" spans="1:21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  <row r="991" spans="1:21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</row>
    <row r="992" spans="1:21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</row>
    <row r="993" spans="1:21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</row>
    <row r="994" spans="1:21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</row>
    <row r="995" spans="1:21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</row>
    <row r="996" spans="1:21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</row>
    <row r="997" spans="1:21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</row>
    <row r="998" spans="1:21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</row>
    <row r="999" spans="1:21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</row>
    <row r="1000" spans="1:21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</row>
  </sheetData>
  <autoFilter ref="A1:G136" xr:uid="{00000000-0001-0000-0300-000000000000}">
    <filterColumn colId="2">
      <filters>
        <filter val="Afric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00"/>
  <sheetViews>
    <sheetView topLeftCell="R1" workbookViewId="0">
      <selection activeCell="S3" sqref="S3"/>
    </sheetView>
  </sheetViews>
  <sheetFormatPr defaultColWidth="14.453125" defaultRowHeight="15" customHeight="1" x14ac:dyDescent="0.35"/>
  <cols>
    <col min="1" max="1" width="7.7265625" customWidth="1"/>
    <col min="2" max="2" width="5.7265625" customWidth="1"/>
    <col min="3" max="3" width="30.7265625" customWidth="1"/>
    <col min="4" max="4" width="44.7265625" customWidth="1"/>
    <col min="5" max="5" width="49.7265625" customWidth="1"/>
    <col min="6" max="6" width="54.7265625" customWidth="1"/>
    <col min="7" max="7" width="46.7265625" customWidth="1"/>
    <col min="8" max="8" width="51.7265625" customWidth="1"/>
    <col min="9" max="9" width="56.7265625" customWidth="1"/>
    <col min="10" max="10" width="38.7265625" customWidth="1"/>
    <col min="11" max="11" width="43.7265625" customWidth="1"/>
    <col min="12" max="12" width="48.7265625" customWidth="1"/>
    <col min="13" max="13" width="37.7265625" customWidth="1"/>
    <col min="14" max="14" width="42.7265625" customWidth="1"/>
    <col min="15" max="15" width="47.7265625" customWidth="1"/>
    <col min="16" max="16" width="45.7265625" customWidth="1"/>
    <col min="17" max="17" width="50.7265625" customWidth="1"/>
    <col min="18" max="18" width="55.7265625" customWidth="1"/>
    <col min="19" max="19" width="15.90625" bestFit="1" customWidth="1"/>
    <col min="20" max="26" width="8.7265625" customWidth="1"/>
  </cols>
  <sheetData>
    <row r="1" spans="1:19" ht="14.5" x14ac:dyDescent="0.35">
      <c r="A1" s="6" t="s">
        <v>0</v>
      </c>
      <c r="B1" s="6" t="s">
        <v>1</v>
      </c>
      <c r="C1" s="6" t="s">
        <v>2</v>
      </c>
      <c r="D1" s="6" t="s">
        <v>294</v>
      </c>
      <c r="E1" s="6" t="s">
        <v>295</v>
      </c>
      <c r="F1" s="6" t="s">
        <v>296</v>
      </c>
      <c r="G1" s="6" t="s">
        <v>297</v>
      </c>
      <c r="H1" s="6" t="s">
        <v>298</v>
      </c>
      <c r="I1" s="6" t="s">
        <v>299</v>
      </c>
      <c r="J1" s="6" t="s">
        <v>300</v>
      </c>
      <c r="K1" s="6" t="s">
        <v>301</v>
      </c>
      <c r="L1" s="6" t="s">
        <v>302</v>
      </c>
      <c r="M1" s="6" t="s">
        <v>303</v>
      </c>
      <c r="N1" s="6" t="s">
        <v>304</v>
      </c>
      <c r="O1" s="6" t="s">
        <v>305</v>
      </c>
      <c r="P1" s="6" t="s">
        <v>306</v>
      </c>
      <c r="Q1" s="6" t="s">
        <v>307</v>
      </c>
      <c r="R1" s="6" t="s">
        <v>308</v>
      </c>
      <c r="S1" s="11" t="s">
        <v>374</v>
      </c>
    </row>
    <row r="2" spans="1:19" ht="14.5" hidden="1" x14ac:dyDescent="0.35">
      <c r="A2" s="2">
        <v>134</v>
      </c>
      <c r="B2" s="3" t="s">
        <v>290</v>
      </c>
      <c r="C2" s="4" t="s">
        <v>291</v>
      </c>
      <c r="D2" s="5">
        <v>0</v>
      </c>
      <c r="E2" s="5">
        <v>0</v>
      </c>
      <c r="F2" s="5">
        <v>12.31</v>
      </c>
      <c r="G2" s="5">
        <v>0</v>
      </c>
      <c r="H2" s="5">
        <v>0</v>
      </c>
      <c r="I2" s="5">
        <v>46.68</v>
      </c>
      <c r="J2" s="5">
        <v>0</v>
      </c>
      <c r="K2" s="5">
        <v>0</v>
      </c>
      <c r="L2" s="5">
        <v>14.09</v>
      </c>
      <c r="M2" s="5">
        <v>0</v>
      </c>
      <c r="N2" s="5">
        <v>0</v>
      </c>
      <c r="O2" s="5">
        <v>15.81</v>
      </c>
      <c r="P2" s="5">
        <v>0</v>
      </c>
      <c r="Q2" s="5">
        <v>0</v>
      </c>
      <c r="R2" s="5">
        <v>11.49</v>
      </c>
      <c r="S2" s="10" t="str">
        <f>IF(COUNTIF([1]Country_Classifications!$B$2:$B$40, $B2)&gt;0, "Africa", "Others")</f>
        <v>Others</v>
      </c>
    </row>
    <row r="3" spans="1:19" ht="14.5" x14ac:dyDescent="0.35">
      <c r="A3" s="2">
        <v>102</v>
      </c>
      <c r="B3" s="3" t="s">
        <v>226</v>
      </c>
      <c r="C3" s="4" t="s">
        <v>227</v>
      </c>
      <c r="D3" s="5">
        <v>0</v>
      </c>
      <c r="E3" s="5">
        <v>7.69</v>
      </c>
      <c r="F3" s="5">
        <v>27.88</v>
      </c>
      <c r="G3" s="5">
        <v>7.73</v>
      </c>
      <c r="H3" s="5">
        <v>0</v>
      </c>
      <c r="I3" s="5">
        <v>49.31</v>
      </c>
      <c r="J3" s="5">
        <v>9.09</v>
      </c>
      <c r="K3" s="5">
        <v>10.26</v>
      </c>
      <c r="L3" s="5">
        <v>33.11</v>
      </c>
      <c r="M3" s="5">
        <v>9.59</v>
      </c>
      <c r="N3" s="5">
        <v>0</v>
      </c>
      <c r="O3" s="5">
        <v>64.010000000000005</v>
      </c>
      <c r="P3" s="5">
        <v>16.41</v>
      </c>
      <c r="Q3" s="5">
        <v>30</v>
      </c>
      <c r="R3" s="5">
        <v>47.64</v>
      </c>
      <c r="S3" s="10" t="str">
        <f>IF(COUNTIF([1]Country_Classifications!$B$2:$B$40, $B3)&gt;0, "Africa", "Others")</f>
        <v>Africa</v>
      </c>
    </row>
    <row r="4" spans="1:19" ht="14.5" hidden="1" x14ac:dyDescent="0.35">
      <c r="A4" s="2">
        <v>71</v>
      </c>
      <c r="B4" s="3" t="s">
        <v>164</v>
      </c>
      <c r="C4" s="4" t="s">
        <v>165</v>
      </c>
      <c r="D4" s="5">
        <v>26.01</v>
      </c>
      <c r="E4" s="5">
        <v>15.38</v>
      </c>
      <c r="F4" s="5">
        <v>65.959999999999994</v>
      </c>
      <c r="G4" s="5">
        <v>30.87</v>
      </c>
      <c r="H4" s="5">
        <v>15.38</v>
      </c>
      <c r="I4" s="5">
        <v>75.11</v>
      </c>
      <c r="J4" s="5">
        <v>20.2</v>
      </c>
      <c r="K4" s="5">
        <v>20.51</v>
      </c>
      <c r="L4" s="5">
        <v>51.89</v>
      </c>
      <c r="M4" s="5">
        <v>2.27</v>
      </c>
      <c r="N4" s="5">
        <v>0</v>
      </c>
      <c r="O4" s="5">
        <v>81.93</v>
      </c>
      <c r="P4" s="5">
        <v>9.66</v>
      </c>
      <c r="Q4" s="5">
        <v>2.5</v>
      </c>
      <c r="R4" s="5">
        <v>67.260000000000005</v>
      </c>
      <c r="S4" s="10" t="str">
        <f>IF(COUNTIF([1]Country_Classifications!$B$2:$B$40, $B4)&gt;0, "Africa", "Others")</f>
        <v>Others</v>
      </c>
    </row>
    <row r="5" spans="1:19" ht="14.5" hidden="1" x14ac:dyDescent="0.35">
      <c r="A5" s="2">
        <v>55</v>
      </c>
      <c r="B5" s="3" t="s">
        <v>132</v>
      </c>
      <c r="C5" s="4" t="s">
        <v>133</v>
      </c>
      <c r="D5" s="5">
        <v>68.06</v>
      </c>
      <c r="E5" s="5">
        <v>0</v>
      </c>
      <c r="F5" s="5">
        <v>71.010000000000005</v>
      </c>
      <c r="G5" s="5">
        <v>29.94</v>
      </c>
      <c r="H5" s="5">
        <v>0</v>
      </c>
      <c r="I5" s="5">
        <v>48.39</v>
      </c>
      <c r="J5" s="5">
        <v>30.68</v>
      </c>
      <c r="K5" s="5">
        <v>0</v>
      </c>
      <c r="L5" s="5">
        <v>59.15</v>
      </c>
      <c r="M5" s="5">
        <v>29.18</v>
      </c>
      <c r="N5" s="5">
        <v>8.7899999999999991</v>
      </c>
      <c r="O5" s="5">
        <v>81.45</v>
      </c>
      <c r="P5" s="5">
        <v>21.59</v>
      </c>
      <c r="Q5" s="5">
        <v>0</v>
      </c>
      <c r="R5" s="5">
        <v>47.2</v>
      </c>
      <c r="S5" s="10" t="str">
        <f>IF(COUNTIF([1]Country_Classifications!$B$2:$B$40, $B5)&gt;0, "Africa", "Others")</f>
        <v>Others</v>
      </c>
    </row>
    <row r="6" spans="1:19" ht="14.5" hidden="1" x14ac:dyDescent="0.35">
      <c r="A6" s="2">
        <v>65</v>
      </c>
      <c r="B6" s="3" t="s">
        <v>152</v>
      </c>
      <c r="C6" s="4" t="s">
        <v>153</v>
      </c>
      <c r="D6" s="5">
        <v>15.66</v>
      </c>
      <c r="E6" s="5">
        <v>7.69</v>
      </c>
      <c r="F6" s="5">
        <v>65.31</v>
      </c>
      <c r="G6" s="5">
        <v>25.76</v>
      </c>
      <c r="H6" s="5">
        <v>46.15</v>
      </c>
      <c r="I6" s="5">
        <v>44.13</v>
      </c>
      <c r="J6" s="5">
        <v>15.53</v>
      </c>
      <c r="K6" s="5">
        <v>10.26</v>
      </c>
      <c r="L6" s="5">
        <v>70.62</v>
      </c>
      <c r="M6" s="5">
        <v>29.21</v>
      </c>
      <c r="N6" s="5">
        <v>21.98</v>
      </c>
      <c r="O6" s="5">
        <v>71.59</v>
      </c>
      <c r="P6" s="5">
        <v>15.91</v>
      </c>
      <c r="Q6" s="5">
        <v>47.5</v>
      </c>
      <c r="R6" s="5">
        <v>71.489999999999995</v>
      </c>
      <c r="S6" s="10" t="str">
        <f>IF(COUNTIF([1]Country_Classifications!$B$2:$B$40, $B6)&gt;0, "Africa", "Others")</f>
        <v>Others</v>
      </c>
    </row>
    <row r="7" spans="1:19" ht="14.5" hidden="1" x14ac:dyDescent="0.35">
      <c r="A7" s="2">
        <v>95</v>
      </c>
      <c r="B7" s="3" t="s">
        <v>212</v>
      </c>
      <c r="C7" s="4" t="s">
        <v>213</v>
      </c>
      <c r="D7" s="5">
        <v>3.54</v>
      </c>
      <c r="E7" s="5">
        <v>7.69</v>
      </c>
      <c r="F7" s="5">
        <v>68.45</v>
      </c>
      <c r="G7" s="5">
        <v>2.27</v>
      </c>
      <c r="H7" s="5">
        <v>7.69</v>
      </c>
      <c r="I7" s="5">
        <v>55.34</v>
      </c>
      <c r="J7" s="5">
        <v>3.03</v>
      </c>
      <c r="K7" s="5">
        <v>10.26</v>
      </c>
      <c r="L7" s="5">
        <v>59.44</v>
      </c>
      <c r="M7" s="5">
        <v>19.89</v>
      </c>
      <c r="N7" s="5">
        <v>0</v>
      </c>
      <c r="O7" s="5">
        <v>63.8</v>
      </c>
      <c r="P7" s="5">
        <v>0</v>
      </c>
      <c r="Q7" s="5">
        <v>0</v>
      </c>
      <c r="R7" s="5">
        <v>62.09</v>
      </c>
      <c r="S7" s="10" t="str">
        <f>IF(COUNTIF([1]Country_Classifications!$B$2:$B$40, $B7)&gt;0, "Africa", "Others")</f>
        <v>Others</v>
      </c>
    </row>
    <row r="8" spans="1:19" ht="14.5" hidden="1" x14ac:dyDescent="0.35">
      <c r="A8" s="2">
        <v>106</v>
      </c>
      <c r="B8" s="3" t="s">
        <v>234</v>
      </c>
      <c r="C8" s="4" t="s">
        <v>235</v>
      </c>
      <c r="D8" s="5">
        <v>3.03</v>
      </c>
      <c r="E8" s="5">
        <v>0</v>
      </c>
      <c r="F8" s="5">
        <v>80.47</v>
      </c>
      <c r="G8" s="5">
        <v>0</v>
      </c>
      <c r="H8" s="5">
        <v>0</v>
      </c>
      <c r="I8" s="5">
        <v>37.840000000000003</v>
      </c>
      <c r="J8" s="5">
        <v>0</v>
      </c>
      <c r="K8" s="5">
        <v>0</v>
      </c>
      <c r="L8" s="5">
        <v>82.97</v>
      </c>
      <c r="M8" s="5">
        <v>2.27</v>
      </c>
      <c r="N8" s="5">
        <v>0</v>
      </c>
      <c r="O8" s="5">
        <v>38.44</v>
      </c>
      <c r="P8" s="5">
        <v>0</v>
      </c>
      <c r="Q8" s="5">
        <v>0</v>
      </c>
      <c r="R8" s="5">
        <v>43.87</v>
      </c>
      <c r="S8" s="10" t="str">
        <f>IF(COUNTIF([1]Country_Classifications!$B$2:$B$40, $B8)&gt;0, "Africa", "Others")</f>
        <v>Others</v>
      </c>
    </row>
    <row r="9" spans="1:19" ht="14.5" hidden="1" x14ac:dyDescent="0.35">
      <c r="A9" s="2">
        <v>23</v>
      </c>
      <c r="B9" s="3" t="s">
        <v>63</v>
      </c>
      <c r="C9" s="4" t="s">
        <v>64</v>
      </c>
      <c r="D9" s="5">
        <v>58.46</v>
      </c>
      <c r="E9" s="5">
        <v>7.69</v>
      </c>
      <c r="F9" s="5">
        <v>94.52</v>
      </c>
      <c r="G9" s="5">
        <v>41.29</v>
      </c>
      <c r="H9" s="5">
        <v>53.85</v>
      </c>
      <c r="I9" s="5">
        <v>61.77</v>
      </c>
      <c r="J9" s="5">
        <v>47.29</v>
      </c>
      <c r="K9" s="5">
        <v>65.64</v>
      </c>
      <c r="L9" s="5">
        <v>82.97</v>
      </c>
      <c r="M9" s="5">
        <v>58.33</v>
      </c>
      <c r="N9" s="5">
        <v>70.33</v>
      </c>
      <c r="O9" s="5">
        <v>81.75</v>
      </c>
      <c r="P9" s="5">
        <v>38.69</v>
      </c>
      <c r="Q9" s="5">
        <v>40</v>
      </c>
      <c r="R9" s="5">
        <v>90.79</v>
      </c>
      <c r="S9" s="10" t="str">
        <f>IF(COUNTIF([1]Country_Classifications!$B$2:$B$40, $B9)&gt;0, "Africa", "Others")</f>
        <v>Others</v>
      </c>
    </row>
    <row r="10" spans="1:19" ht="14.5" hidden="1" x14ac:dyDescent="0.35">
      <c r="A10" s="2">
        <v>20</v>
      </c>
      <c r="B10" s="3" t="s">
        <v>57</v>
      </c>
      <c r="C10" s="4" t="s">
        <v>58</v>
      </c>
      <c r="D10" s="5">
        <v>47.9</v>
      </c>
      <c r="E10" s="5">
        <v>7.69</v>
      </c>
      <c r="F10" s="5">
        <v>93.58</v>
      </c>
      <c r="G10" s="5">
        <v>48.58</v>
      </c>
      <c r="H10" s="5">
        <v>0</v>
      </c>
      <c r="I10" s="5">
        <v>89.84</v>
      </c>
      <c r="J10" s="5">
        <v>69.97</v>
      </c>
      <c r="K10" s="5">
        <v>20.51</v>
      </c>
      <c r="L10" s="5">
        <v>90.36</v>
      </c>
      <c r="M10" s="5">
        <v>70.739999999999995</v>
      </c>
      <c r="N10" s="5">
        <v>0</v>
      </c>
      <c r="O10" s="5">
        <v>92.11</v>
      </c>
      <c r="P10" s="5">
        <v>6.06</v>
      </c>
      <c r="Q10" s="5">
        <v>72.5</v>
      </c>
      <c r="R10" s="5">
        <v>83.32</v>
      </c>
      <c r="S10" s="10" t="str">
        <f>IF(COUNTIF([1]Country_Classifications!$B$2:$B$40, $B10)&gt;0, "Africa", "Others")</f>
        <v>Others</v>
      </c>
    </row>
    <row r="11" spans="1:19" ht="14.5" hidden="1" x14ac:dyDescent="0.35">
      <c r="A11" s="2">
        <v>76</v>
      </c>
      <c r="B11" s="3" t="s">
        <v>174</v>
      </c>
      <c r="C11" s="4" t="s">
        <v>175</v>
      </c>
      <c r="D11" s="5">
        <v>26.01</v>
      </c>
      <c r="E11" s="5">
        <v>7.69</v>
      </c>
      <c r="F11" s="5">
        <v>49.95</v>
      </c>
      <c r="G11" s="5">
        <v>15.15</v>
      </c>
      <c r="H11" s="5">
        <v>0</v>
      </c>
      <c r="I11" s="5">
        <v>26.57</v>
      </c>
      <c r="J11" s="5">
        <v>43.69</v>
      </c>
      <c r="K11" s="5">
        <v>20.51</v>
      </c>
      <c r="L11" s="5">
        <v>57.31</v>
      </c>
      <c r="M11" s="5">
        <v>2.27</v>
      </c>
      <c r="N11" s="5">
        <v>0</v>
      </c>
      <c r="O11" s="5">
        <v>74.67</v>
      </c>
      <c r="P11" s="5">
        <v>23.48</v>
      </c>
      <c r="Q11" s="5">
        <v>40</v>
      </c>
      <c r="R11" s="5">
        <v>46.74</v>
      </c>
      <c r="S11" s="10" t="str">
        <f>IF(COUNTIF([1]Country_Classifications!$B$2:$B$40, $B11)&gt;0, "Africa", "Others")</f>
        <v>Others</v>
      </c>
    </row>
    <row r="12" spans="1:19" ht="14.5" x14ac:dyDescent="0.35">
      <c r="A12" s="2">
        <v>132</v>
      </c>
      <c r="B12" s="3" t="s">
        <v>286</v>
      </c>
      <c r="C12" s="4" t="s">
        <v>287</v>
      </c>
      <c r="D12" s="5">
        <v>0</v>
      </c>
      <c r="E12" s="5">
        <v>0</v>
      </c>
      <c r="F12" s="5">
        <v>5.36</v>
      </c>
      <c r="G12" s="5">
        <v>0</v>
      </c>
      <c r="H12" s="5">
        <v>0</v>
      </c>
      <c r="I12" s="5">
        <v>48.62</v>
      </c>
      <c r="J12" s="5">
        <v>0</v>
      </c>
      <c r="K12" s="5">
        <v>20.51</v>
      </c>
      <c r="L12" s="5">
        <v>34.06</v>
      </c>
      <c r="M12" s="5">
        <v>0</v>
      </c>
      <c r="N12" s="5">
        <v>0</v>
      </c>
      <c r="O12" s="5">
        <v>24.83</v>
      </c>
      <c r="P12" s="5">
        <v>0</v>
      </c>
      <c r="Q12" s="5">
        <v>0</v>
      </c>
      <c r="R12" s="5">
        <v>25.34</v>
      </c>
      <c r="S12" s="10" t="str">
        <f>IF(COUNTIF([1]Country_Classifications!$B$2:$B$40, $B12)&gt;0, "Africa", "Others")</f>
        <v>Africa</v>
      </c>
    </row>
    <row r="13" spans="1:19" ht="14.5" hidden="1" x14ac:dyDescent="0.35">
      <c r="A13" s="2">
        <v>16</v>
      </c>
      <c r="B13" s="3" t="s">
        <v>49</v>
      </c>
      <c r="C13" s="4" t="s">
        <v>50</v>
      </c>
      <c r="D13" s="5">
        <v>44.87</v>
      </c>
      <c r="E13" s="5">
        <v>7.69</v>
      </c>
      <c r="F13" s="5">
        <v>92.81</v>
      </c>
      <c r="G13" s="5">
        <v>72.16</v>
      </c>
      <c r="H13" s="5">
        <v>23.08</v>
      </c>
      <c r="I13" s="5">
        <v>80.150000000000006</v>
      </c>
      <c r="J13" s="5">
        <v>46.99</v>
      </c>
      <c r="K13" s="5">
        <v>10.26</v>
      </c>
      <c r="L13" s="5">
        <v>89.03</v>
      </c>
      <c r="M13" s="5">
        <v>73.010000000000005</v>
      </c>
      <c r="N13" s="5">
        <v>17.579999999999998</v>
      </c>
      <c r="O13" s="5">
        <v>93.93</v>
      </c>
      <c r="P13" s="5">
        <v>26.14</v>
      </c>
      <c r="Q13" s="5">
        <v>55</v>
      </c>
      <c r="R13" s="5">
        <v>88.05</v>
      </c>
      <c r="S13" s="10" t="str">
        <f>IF(COUNTIF([1]Country_Classifications!$B$2:$B$40, $B13)&gt;0, "Africa", "Others")</f>
        <v>Others</v>
      </c>
    </row>
    <row r="14" spans="1:19" ht="14.5" x14ac:dyDescent="0.35">
      <c r="A14" s="2">
        <v>59</v>
      </c>
      <c r="B14" s="3" t="s">
        <v>140</v>
      </c>
      <c r="C14" s="4" t="s">
        <v>141</v>
      </c>
      <c r="D14" s="5">
        <v>24.49</v>
      </c>
      <c r="E14" s="5">
        <v>7.69</v>
      </c>
      <c r="F14" s="5">
        <v>21.01</v>
      </c>
      <c r="G14" s="5">
        <v>62.01</v>
      </c>
      <c r="H14" s="5">
        <v>0</v>
      </c>
      <c r="I14" s="5">
        <v>23.56</v>
      </c>
      <c r="J14" s="5">
        <v>52.78</v>
      </c>
      <c r="K14" s="5">
        <v>20.51</v>
      </c>
      <c r="L14" s="5">
        <v>42.42</v>
      </c>
      <c r="M14" s="5">
        <v>14.66</v>
      </c>
      <c r="N14" s="5">
        <v>13.19</v>
      </c>
      <c r="O14" s="5">
        <v>85.98</v>
      </c>
      <c r="P14" s="5">
        <v>25</v>
      </c>
      <c r="Q14" s="5">
        <v>47.5</v>
      </c>
      <c r="R14" s="5">
        <v>56.3</v>
      </c>
      <c r="S14" s="10" t="str">
        <f>IF(COUNTIF([1]Country_Classifications!$B$2:$B$40, $B14)&gt;0, "Africa", "Others")</f>
        <v>Africa</v>
      </c>
    </row>
    <row r="15" spans="1:19" ht="14.5" x14ac:dyDescent="0.35">
      <c r="A15" s="2">
        <v>121</v>
      </c>
      <c r="B15" s="3" t="s">
        <v>264</v>
      </c>
      <c r="C15" s="4" t="s">
        <v>265</v>
      </c>
      <c r="D15" s="5">
        <v>0</v>
      </c>
      <c r="E15" s="5">
        <v>15.38</v>
      </c>
      <c r="F15" s="5">
        <v>5.68</v>
      </c>
      <c r="G15" s="5">
        <v>0</v>
      </c>
      <c r="H15" s="5">
        <v>0</v>
      </c>
      <c r="I15" s="5">
        <v>24.48</v>
      </c>
      <c r="J15" s="5">
        <v>0</v>
      </c>
      <c r="K15" s="5">
        <v>20.51</v>
      </c>
      <c r="L15" s="5">
        <v>27.6</v>
      </c>
      <c r="M15" s="5">
        <v>14.32</v>
      </c>
      <c r="N15" s="5">
        <v>4.4000000000000004</v>
      </c>
      <c r="O15" s="5">
        <v>68.180000000000007</v>
      </c>
      <c r="P15" s="5">
        <v>0</v>
      </c>
      <c r="Q15" s="5">
        <v>40</v>
      </c>
      <c r="R15" s="5">
        <v>37.15</v>
      </c>
      <c r="S15" s="10" t="str">
        <f>IF(COUNTIF([1]Country_Classifications!$B$2:$B$40, $B15)&gt;0, "Africa", "Others")</f>
        <v>Africa</v>
      </c>
    </row>
    <row r="16" spans="1:19" ht="14.5" hidden="1" x14ac:dyDescent="0.35">
      <c r="A16" s="2">
        <v>101</v>
      </c>
      <c r="B16" s="3" t="s">
        <v>224</v>
      </c>
      <c r="C16" s="4" t="s">
        <v>225</v>
      </c>
      <c r="D16" s="5">
        <v>21.72</v>
      </c>
      <c r="E16" s="5">
        <v>0</v>
      </c>
      <c r="F16" s="5">
        <v>20.6</v>
      </c>
      <c r="G16" s="5">
        <v>11.55</v>
      </c>
      <c r="H16" s="5">
        <v>0</v>
      </c>
      <c r="I16" s="5">
        <v>15.93</v>
      </c>
      <c r="J16" s="5">
        <v>8.2100000000000009</v>
      </c>
      <c r="K16" s="5">
        <v>20.51</v>
      </c>
      <c r="L16" s="5">
        <v>34.67</v>
      </c>
      <c r="M16" s="5">
        <v>19.600000000000001</v>
      </c>
      <c r="N16" s="5">
        <v>0</v>
      </c>
      <c r="O16" s="5">
        <v>69.150000000000006</v>
      </c>
      <c r="P16" s="5">
        <v>3.41</v>
      </c>
      <c r="Q16" s="5">
        <v>8.75</v>
      </c>
      <c r="R16" s="5">
        <v>60.85</v>
      </c>
      <c r="S16" s="10" t="str">
        <f>IF(COUNTIF([1]Country_Classifications!$B$2:$B$40, $B16)&gt;0, "Africa", "Others")</f>
        <v>Others</v>
      </c>
    </row>
    <row r="17" spans="1:19" ht="14.5" hidden="1" x14ac:dyDescent="0.35">
      <c r="A17" s="2">
        <v>15</v>
      </c>
      <c r="B17" s="3" t="s">
        <v>47</v>
      </c>
      <c r="C17" s="4" t="s">
        <v>48</v>
      </c>
      <c r="D17" s="5">
        <v>68.739999999999995</v>
      </c>
      <c r="E17" s="5">
        <v>30.77</v>
      </c>
      <c r="F17" s="5">
        <v>72.3</v>
      </c>
      <c r="G17" s="5">
        <v>59.94</v>
      </c>
      <c r="H17" s="5">
        <v>46.15</v>
      </c>
      <c r="I17" s="5">
        <v>61.7</v>
      </c>
      <c r="J17" s="5">
        <v>67.83</v>
      </c>
      <c r="K17" s="5">
        <v>51.28</v>
      </c>
      <c r="L17" s="5">
        <v>70.510000000000005</v>
      </c>
      <c r="M17" s="5">
        <v>82.1</v>
      </c>
      <c r="N17" s="5">
        <v>30.77</v>
      </c>
      <c r="O17" s="5">
        <v>84.56</v>
      </c>
      <c r="P17" s="5">
        <v>19.190000000000001</v>
      </c>
      <c r="Q17" s="5">
        <v>45</v>
      </c>
      <c r="R17" s="5">
        <v>74.209999999999994</v>
      </c>
      <c r="S17" s="10" t="str">
        <f>IF(COUNTIF([1]Country_Classifications!$B$2:$B$40, $B17)&gt;0, "Africa", "Others")</f>
        <v>Others</v>
      </c>
    </row>
    <row r="18" spans="1:19" ht="14.5" hidden="1" x14ac:dyDescent="0.35">
      <c r="A18" s="2">
        <v>75</v>
      </c>
      <c r="B18" s="3" t="s">
        <v>172</v>
      </c>
      <c r="C18" s="4" t="s">
        <v>173</v>
      </c>
      <c r="D18" s="5">
        <v>0</v>
      </c>
      <c r="E18" s="5">
        <v>0</v>
      </c>
      <c r="F18" s="5">
        <v>59.83</v>
      </c>
      <c r="G18" s="5">
        <v>52.12</v>
      </c>
      <c r="H18" s="5">
        <v>0</v>
      </c>
      <c r="I18" s="5">
        <v>28.69</v>
      </c>
      <c r="J18" s="5">
        <v>27.98</v>
      </c>
      <c r="K18" s="5">
        <v>0</v>
      </c>
      <c r="L18" s="5">
        <v>53.08</v>
      </c>
      <c r="M18" s="5">
        <v>33.01</v>
      </c>
      <c r="N18" s="5">
        <v>0</v>
      </c>
      <c r="O18" s="5">
        <v>64.25</v>
      </c>
      <c r="P18" s="5">
        <v>12.5</v>
      </c>
      <c r="Q18" s="5">
        <v>0</v>
      </c>
      <c r="R18" s="5">
        <v>51.15</v>
      </c>
      <c r="S18" s="10" t="str">
        <f>IF(COUNTIF([1]Country_Classifications!$B$2:$B$40, $B18)&gt;0, "Africa", "Others")</f>
        <v>Others</v>
      </c>
    </row>
    <row r="19" spans="1:19" ht="14.5" hidden="1" x14ac:dyDescent="0.35">
      <c r="A19" s="2">
        <v>111</v>
      </c>
      <c r="B19" s="3" t="s">
        <v>244</v>
      </c>
      <c r="C19" s="4" t="s">
        <v>245</v>
      </c>
      <c r="D19" s="5">
        <v>0</v>
      </c>
      <c r="E19" s="5">
        <v>0</v>
      </c>
      <c r="F19" s="5">
        <v>55.58</v>
      </c>
      <c r="G19" s="5">
        <v>0</v>
      </c>
      <c r="H19" s="5">
        <v>23.08</v>
      </c>
      <c r="I19" s="5">
        <v>30.39</v>
      </c>
      <c r="J19" s="5">
        <v>13.89</v>
      </c>
      <c r="K19" s="5">
        <v>20.51</v>
      </c>
      <c r="L19" s="5">
        <v>50.47</v>
      </c>
      <c r="M19" s="5">
        <v>0</v>
      </c>
      <c r="N19" s="5">
        <v>57.14</v>
      </c>
      <c r="O19" s="5">
        <v>57.81</v>
      </c>
      <c r="P19" s="5">
        <v>0</v>
      </c>
      <c r="Q19" s="5">
        <v>0</v>
      </c>
      <c r="R19" s="5">
        <v>30.82</v>
      </c>
      <c r="S19" s="10" t="str">
        <f>IF(COUNTIF([1]Country_Classifications!$B$2:$B$40, $B19)&gt;0, "Africa", "Others")</f>
        <v>Others</v>
      </c>
    </row>
    <row r="20" spans="1:19" ht="14.5" hidden="1" x14ac:dyDescent="0.35">
      <c r="A20" s="2">
        <v>105</v>
      </c>
      <c r="B20" s="3" t="s">
        <v>232</v>
      </c>
      <c r="C20" s="4" t="s">
        <v>233</v>
      </c>
      <c r="D20" s="5">
        <v>3.03</v>
      </c>
      <c r="E20" s="5">
        <v>0</v>
      </c>
      <c r="F20" s="5">
        <v>58.06</v>
      </c>
      <c r="G20" s="5">
        <v>14.49</v>
      </c>
      <c r="H20" s="5">
        <v>0</v>
      </c>
      <c r="I20" s="5">
        <v>65.38</v>
      </c>
      <c r="J20" s="5">
        <v>3.03</v>
      </c>
      <c r="K20" s="5">
        <v>0</v>
      </c>
      <c r="L20" s="5">
        <v>49.4</v>
      </c>
      <c r="M20" s="5">
        <v>2.27</v>
      </c>
      <c r="N20" s="5">
        <v>0</v>
      </c>
      <c r="O20" s="5">
        <v>39.42</v>
      </c>
      <c r="P20" s="5">
        <v>0</v>
      </c>
      <c r="Q20" s="5">
        <v>0</v>
      </c>
      <c r="R20" s="5">
        <v>38.630000000000003</v>
      </c>
      <c r="S20" s="10" t="str">
        <f>IF(COUNTIF([1]Country_Classifications!$B$2:$B$40, $B20)&gt;0, "Africa", "Others")</f>
        <v>Others</v>
      </c>
    </row>
    <row r="21" spans="1:19" ht="15.75" hidden="1" customHeight="1" x14ac:dyDescent="0.35">
      <c r="A21" s="2">
        <v>108</v>
      </c>
      <c r="B21" s="3" t="s">
        <v>238</v>
      </c>
      <c r="C21" s="4" t="s">
        <v>239</v>
      </c>
      <c r="D21" s="5">
        <v>0</v>
      </c>
      <c r="E21" s="5">
        <v>0</v>
      </c>
      <c r="F21" s="5">
        <v>55.71</v>
      </c>
      <c r="G21" s="5">
        <v>5.68</v>
      </c>
      <c r="H21" s="5">
        <v>23.08</v>
      </c>
      <c r="I21" s="5">
        <v>28.28</v>
      </c>
      <c r="J21" s="5">
        <v>0</v>
      </c>
      <c r="K21" s="5">
        <v>0</v>
      </c>
      <c r="L21" s="5">
        <v>47.96</v>
      </c>
      <c r="M21" s="5">
        <v>2.46</v>
      </c>
      <c r="N21" s="5">
        <v>30.77</v>
      </c>
      <c r="O21" s="5">
        <v>56.79</v>
      </c>
      <c r="P21" s="5">
        <v>6.63</v>
      </c>
      <c r="Q21" s="5">
        <v>0</v>
      </c>
      <c r="R21" s="5">
        <v>52.86</v>
      </c>
      <c r="S21" s="10" t="str">
        <f>IF(COUNTIF([1]Country_Classifications!$B$2:$B$40, $B21)&gt;0, "Africa", "Others")</f>
        <v>Others</v>
      </c>
    </row>
    <row r="22" spans="1:19" ht="15.75" hidden="1" customHeight="1" x14ac:dyDescent="0.35">
      <c r="A22" s="2">
        <v>11</v>
      </c>
      <c r="B22" s="3" t="s">
        <v>38</v>
      </c>
      <c r="C22" s="4" t="s">
        <v>39</v>
      </c>
      <c r="D22" s="5">
        <v>79.55</v>
      </c>
      <c r="E22" s="5">
        <v>7.69</v>
      </c>
      <c r="F22" s="5">
        <v>78.38</v>
      </c>
      <c r="G22" s="5">
        <v>59.92</v>
      </c>
      <c r="H22" s="5">
        <v>76.92</v>
      </c>
      <c r="I22" s="5">
        <v>65.900000000000006</v>
      </c>
      <c r="J22" s="5">
        <v>89.65</v>
      </c>
      <c r="K22" s="5">
        <v>51.28</v>
      </c>
      <c r="L22" s="5">
        <v>57.84</v>
      </c>
      <c r="M22" s="5">
        <v>58.31</v>
      </c>
      <c r="N22" s="5">
        <v>35.159999999999997</v>
      </c>
      <c r="O22" s="5">
        <v>76.63</v>
      </c>
      <c r="P22" s="5">
        <v>55.39</v>
      </c>
      <c r="Q22" s="5">
        <v>90</v>
      </c>
      <c r="R22" s="5">
        <v>83.03</v>
      </c>
      <c r="S22" s="10" t="str">
        <f>IF(COUNTIF([1]Country_Classifications!$B$2:$B$40, $B22)&gt;0, "Africa", "Others")</f>
        <v>Others</v>
      </c>
    </row>
    <row r="23" spans="1:19" ht="15.75" hidden="1" customHeight="1" x14ac:dyDescent="0.35">
      <c r="A23" s="2">
        <v>99</v>
      </c>
      <c r="B23" s="3" t="s">
        <v>220</v>
      </c>
      <c r="C23" s="4" t="s">
        <v>221</v>
      </c>
      <c r="D23" s="5">
        <v>0</v>
      </c>
      <c r="E23" s="5">
        <v>7.69</v>
      </c>
      <c r="F23" s="5">
        <v>78.239999999999995</v>
      </c>
      <c r="G23" s="5">
        <v>0</v>
      </c>
      <c r="H23" s="5">
        <v>0</v>
      </c>
      <c r="I23" s="5">
        <v>39.799999999999997</v>
      </c>
      <c r="J23" s="5">
        <v>6.06</v>
      </c>
      <c r="K23" s="5">
        <v>0</v>
      </c>
      <c r="L23" s="5">
        <v>77.959999999999994</v>
      </c>
      <c r="M23" s="5">
        <v>2.27</v>
      </c>
      <c r="N23" s="5">
        <v>0</v>
      </c>
      <c r="O23" s="5">
        <v>46.8</v>
      </c>
      <c r="P23" s="5">
        <v>3.03</v>
      </c>
      <c r="Q23" s="5">
        <v>40</v>
      </c>
      <c r="R23" s="5">
        <v>54.85</v>
      </c>
      <c r="S23" s="10" t="str">
        <f>IF(COUNTIF([1]Country_Classifications!$B$2:$B$40, $B23)&gt;0, "Africa", "Others")</f>
        <v>Others</v>
      </c>
    </row>
    <row r="24" spans="1:19" ht="15.75" hidden="1" customHeight="1" x14ac:dyDescent="0.35">
      <c r="A24" s="2">
        <v>91</v>
      </c>
      <c r="B24" s="3" t="s">
        <v>204</v>
      </c>
      <c r="C24" s="4" t="s">
        <v>205</v>
      </c>
      <c r="D24" s="5">
        <v>21.97</v>
      </c>
      <c r="E24" s="5">
        <v>0</v>
      </c>
      <c r="F24" s="5">
        <v>62.58</v>
      </c>
      <c r="G24" s="5">
        <v>0</v>
      </c>
      <c r="H24" s="5">
        <v>0</v>
      </c>
      <c r="I24" s="5">
        <v>86.05</v>
      </c>
      <c r="J24" s="5">
        <v>0</v>
      </c>
      <c r="K24" s="5">
        <v>0</v>
      </c>
      <c r="L24" s="5">
        <v>40.35</v>
      </c>
      <c r="M24" s="5">
        <v>14.63</v>
      </c>
      <c r="N24" s="5">
        <v>0</v>
      </c>
      <c r="O24" s="5">
        <v>60.82</v>
      </c>
      <c r="P24" s="5">
        <v>3.03</v>
      </c>
      <c r="Q24" s="5">
        <v>0</v>
      </c>
      <c r="R24" s="5">
        <v>60.13</v>
      </c>
      <c r="S24" s="10" t="str">
        <f>IF(COUNTIF([1]Country_Classifications!$B$2:$B$40, $B24)&gt;0, "Africa", "Others")</f>
        <v>Others</v>
      </c>
    </row>
    <row r="25" spans="1:19" ht="15.75" customHeight="1" x14ac:dyDescent="0.35">
      <c r="A25" s="2">
        <v>92</v>
      </c>
      <c r="B25" s="3" t="s">
        <v>206</v>
      </c>
      <c r="C25" s="4" t="s">
        <v>207</v>
      </c>
      <c r="D25" s="5">
        <v>0</v>
      </c>
      <c r="E25" s="5">
        <v>0</v>
      </c>
      <c r="F25" s="5">
        <v>62.34</v>
      </c>
      <c r="G25" s="5">
        <v>32.01</v>
      </c>
      <c r="H25" s="5">
        <v>0</v>
      </c>
      <c r="I25" s="5">
        <v>30.44</v>
      </c>
      <c r="J25" s="5">
        <v>3.03</v>
      </c>
      <c r="K25" s="5">
        <v>20.51</v>
      </c>
      <c r="L25" s="5">
        <v>53.19</v>
      </c>
      <c r="M25" s="5">
        <v>16.100000000000001</v>
      </c>
      <c r="N25" s="5">
        <v>0</v>
      </c>
      <c r="O25" s="5">
        <v>75.77</v>
      </c>
      <c r="P25" s="5">
        <v>0</v>
      </c>
      <c r="Q25" s="5">
        <v>0</v>
      </c>
      <c r="R25" s="5">
        <v>53.36</v>
      </c>
      <c r="S25" s="10" t="str">
        <f>IF(COUNTIF([1]Country_Classifications!$B$2:$B$40, $B25)&gt;0, "Africa", "Others")</f>
        <v>Africa</v>
      </c>
    </row>
    <row r="26" spans="1:19" ht="15.75" customHeight="1" x14ac:dyDescent="0.35">
      <c r="A26" s="2">
        <v>129</v>
      </c>
      <c r="B26" s="3" t="s">
        <v>280</v>
      </c>
      <c r="C26" s="4" t="s">
        <v>281</v>
      </c>
      <c r="D26" s="5">
        <v>0</v>
      </c>
      <c r="E26" s="5">
        <v>15.38</v>
      </c>
      <c r="F26" s="5">
        <v>5.56</v>
      </c>
      <c r="G26" s="5">
        <v>0</v>
      </c>
      <c r="H26" s="5">
        <v>15.38</v>
      </c>
      <c r="I26" s="5">
        <v>55.9</v>
      </c>
      <c r="J26" s="5">
        <v>3.03</v>
      </c>
      <c r="K26" s="5">
        <v>10.26</v>
      </c>
      <c r="L26" s="5">
        <v>25.89</v>
      </c>
      <c r="M26" s="5">
        <v>0</v>
      </c>
      <c r="N26" s="5">
        <v>0</v>
      </c>
      <c r="O26" s="5">
        <v>22.37</v>
      </c>
      <c r="P26" s="5">
        <v>0</v>
      </c>
      <c r="Q26" s="5">
        <v>0</v>
      </c>
      <c r="R26" s="5">
        <v>27.83</v>
      </c>
      <c r="S26" s="10" t="str">
        <f>IF(COUNTIF([1]Country_Classifications!$B$2:$B$40, $B26)&gt;0, "Africa", "Others")</f>
        <v>Africa</v>
      </c>
    </row>
    <row r="27" spans="1:19" ht="15.75" hidden="1" customHeight="1" x14ac:dyDescent="0.35">
      <c r="A27" s="2">
        <v>25</v>
      </c>
      <c r="B27" s="3" t="s">
        <v>68</v>
      </c>
      <c r="C27" s="4" t="s">
        <v>69</v>
      </c>
      <c r="D27" s="5">
        <v>46.29</v>
      </c>
      <c r="E27" s="5">
        <v>53.85</v>
      </c>
      <c r="F27" s="5">
        <v>85.88</v>
      </c>
      <c r="G27" s="5">
        <v>51.29</v>
      </c>
      <c r="H27" s="5">
        <v>23.08</v>
      </c>
      <c r="I27" s="5">
        <v>82.97</v>
      </c>
      <c r="J27" s="5">
        <v>25.51</v>
      </c>
      <c r="K27" s="5">
        <v>51.28</v>
      </c>
      <c r="L27" s="5">
        <v>85.67</v>
      </c>
      <c r="M27" s="5">
        <v>41.68</v>
      </c>
      <c r="N27" s="5">
        <v>8.7899999999999991</v>
      </c>
      <c r="O27" s="5">
        <v>90.73</v>
      </c>
      <c r="P27" s="5">
        <v>66.91</v>
      </c>
      <c r="Q27" s="5">
        <v>42.5</v>
      </c>
      <c r="R27" s="5">
        <v>88.05</v>
      </c>
      <c r="S27" s="10" t="str">
        <f>IF(COUNTIF([1]Country_Classifications!$B$2:$B$40, $B27)&gt;0, "Africa", "Others")</f>
        <v>Others</v>
      </c>
    </row>
    <row r="28" spans="1:19" ht="15.75" hidden="1" customHeight="1" x14ac:dyDescent="0.35">
      <c r="A28" s="2">
        <v>19</v>
      </c>
      <c r="B28" s="3" t="s">
        <v>55</v>
      </c>
      <c r="C28" s="4" t="s">
        <v>56</v>
      </c>
      <c r="D28" s="5">
        <v>9.09</v>
      </c>
      <c r="E28" s="5">
        <v>7.69</v>
      </c>
      <c r="F28" s="5">
        <v>99.03</v>
      </c>
      <c r="G28" s="5">
        <v>69.7</v>
      </c>
      <c r="H28" s="5">
        <v>55.38</v>
      </c>
      <c r="I28" s="5">
        <v>96.81</v>
      </c>
      <c r="J28" s="5">
        <v>26.26</v>
      </c>
      <c r="K28" s="5">
        <v>51.28</v>
      </c>
      <c r="L28" s="5">
        <v>88.66</v>
      </c>
      <c r="M28" s="5">
        <v>71.02</v>
      </c>
      <c r="N28" s="5">
        <v>21.98</v>
      </c>
      <c r="O28" s="5">
        <v>88.9</v>
      </c>
      <c r="P28" s="5">
        <v>58.46</v>
      </c>
      <c r="Q28" s="5">
        <v>55</v>
      </c>
      <c r="R28" s="5">
        <v>87.51</v>
      </c>
      <c r="S28" s="10" t="str">
        <f>IF(COUNTIF([1]Country_Classifications!$B$2:$B$40, $B28)&gt;0, "Africa", "Others")</f>
        <v>Others</v>
      </c>
    </row>
    <row r="29" spans="1:19" ht="15.75" hidden="1" customHeight="1" x14ac:dyDescent="0.35">
      <c r="A29" s="2">
        <v>14</v>
      </c>
      <c r="B29" s="3" t="s">
        <v>45</v>
      </c>
      <c r="C29" s="4" t="s">
        <v>46</v>
      </c>
      <c r="D29" s="5">
        <v>74.62</v>
      </c>
      <c r="E29" s="5">
        <v>23.08</v>
      </c>
      <c r="F29" s="5">
        <v>82.8</v>
      </c>
      <c r="G29" s="5">
        <v>56.76</v>
      </c>
      <c r="H29" s="5">
        <v>15.38</v>
      </c>
      <c r="I29" s="5">
        <v>69.88</v>
      </c>
      <c r="J29" s="5">
        <v>79.48</v>
      </c>
      <c r="K29" s="5">
        <v>30.77</v>
      </c>
      <c r="L29" s="5">
        <v>77.540000000000006</v>
      </c>
      <c r="M29" s="5">
        <v>60.02</v>
      </c>
      <c r="N29" s="5">
        <v>13.19</v>
      </c>
      <c r="O29" s="5">
        <v>74.41</v>
      </c>
      <c r="P29" s="5">
        <v>53.66</v>
      </c>
      <c r="Q29" s="5">
        <v>35</v>
      </c>
      <c r="R29" s="5">
        <v>81.98</v>
      </c>
      <c r="S29" s="10" t="str">
        <f>IF(COUNTIF([1]Country_Classifications!$B$2:$B$40, $B29)&gt;0, "Africa", "Others")</f>
        <v>Others</v>
      </c>
    </row>
    <row r="30" spans="1:19" ht="15.75" hidden="1" customHeight="1" x14ac:dyDescent="0.35">
      <c r="A30" s="2">
        <v>42</v>
      </c>
      <c r="B30" s="3" t="s">
        <v>106</v>
      </c>
      <c r="C30" s="4" t="s">
        <v>107</v>
      </c>
      <c r="D30" s="5">
        <v>40.4</v>
      </c>
      <c r="E30" s="5">
        <v>23.08</v>
      </c>
      <c r="F30" s="5">
        <v>58.07</v>
      </c>
      <c r="G30" s="5">
        <v>62.03</v>
      </c>
      <c r="H30" s="5">
        <v>46.15</v>
      </c>
      <c r="I30" s="5">
        <v>38.65</v>
      </c>
      <c r="J30" s="5">
        <v>62.12</v>
      </c>
      <c r="K30" s="5">
        <v>0</v>
      </c>
      <c r="L30" s="5">
        <v>39.869999999999997</v>
      </c>
      <c r="M30" s="5">
        <v>65.06</v>
      </c>
      <c r="N30" s="5">
        <v>57.14</v>
      </c>
      <c r="O30" s="5">
        <v>64.709999999999994</v>
      </c>
      <c r="P30" s="5">
        <v>24.87</v>
      </c>
      <c r="Q30" s="5">
        <v>40</v>
      </c>
      <c r="R30" s="5">
        <v>41.23</v>
      </c>
      <c r="S30" s="10" t="str">
        <f>IF(COUNTIF([1]Country_Classifications!$B$2:$B$40, $B30)&gt;0, "Africa", "Others")</f>
        <v>Others</v>
      </c>
    </row>
    <row r="31" spans="1:19" ht="15.75" customHeight="1" x14ac:dyDescent="0.35">
      <c r="A31" s="2">
        <v>64</v>
      </c>
      <c r="B31" s="3" t="s">
        <v>150</v>
      </c>
      <c r="C31" s="4" t="s">
        <v>151</v>
      </c>
      <c r="D31" s="5">
        <v>44.19</v>
      </c>
      <c r="E31" s="5">
        <v>0</v>
      </c>
      <c r="F31" s="5">
        <v>42.73</v>
      </c>
      <c r="G31" s="5">
        <v>50.38</v>
      </c>
      <c r="H31" s="5">
        <v>0</v>
      </c>
      <c r="I31" s="5">
        <v>34.04</v>
      </c>
      <c r="J31" s="5">
        <v>24.49</v>
      </c>
      <c r="K31" s="5">
        <v>0</v>
      </c>
      <c r="L31" s="5">
        <v>55.59</v>
      </c>
      <c r="M31" s="5">
        <v>16.34</v>
      </c>
      <c r="N31" s="5">
        <v>0</v>
      </c>
      <c r="O31" s="5">
        <v>71.91</v>
      </c>
      <c r="P31" s="5">
        <v>21.46</v>
      </c>
      <c r="Q31" s="5">
        <v>45</v>
      </c>
      <c r="R31" s="5">
        <v>53.34</v>
      </c>
      <c r="S31" s="10" t="str">
        <f>IF(COUNTIF([1]Country_Classifications!$B$2:$B$40, $B31)&gt;0, "Africa", "Others")</f>
        <v>Africa</v>
      </c>
    </row>
    <row r="32" spans="1:19" ht="15.75" customHeight="1" x14ac:dyDescent="0.35">
      <c r="A32" s="2">
        <v>119</v>
      </c>
      <c r="B32" s="3" t="s">
        <v>260</v>
      </c>
      <c r="C32" s="4" t="s">
        <v>261</v>
      </c>
      <c r="D32" s="5">
        <v>3.03</v>
      </c>
      <c r="E32" s="5">
        <v>0</v>
      </c>
      <c r="F32" s="5">
        <v>44.55</v>
      </c>
      <c r="G32" s="5">
        <v>0</v>
      </c>
      <c r="H32" s="5">
        <v>0</v>
      </c>
      <c r="I32" s="5">
        <v>48.02</v>
      </c>
      <c r="J32" s="5">
        <v>0</v>
      </c>
      <c r="K32" s="5">
        <v>10.26</v>
      </c>
      <c r="L32" s="5">
        <v>39.75</v>
      </c>
      <c r="M32" s="5">
        <v>0</v>
      </c>
      <c r="N32" s="5">
        <v>0</v>
      </c>
      <c r="O32" s="5">
        <v>48.19</v>
      </c>
      <c r="P32" s="5">
        <v>0</v>
      </c>
      <c r="Q32" s="5">
        <v>0</v>
      </c>
      <c r="R32" s="5">
        <v>35.520000000000003</v>
      </c>
      <c r="S32" s="10" t="str">
        <f>IF(COUNTIF([1]Country_Classifications!$B$2:$B$40, $B32)&gt;0, "Africa", "Others")</f>
        <v>Africa</v>
      </c>
    </row>
    <row r="33" spans="1:19" ht="15.75" customHeight="1" x14ac:dyDescent="0.35">
      <c r="A33" s="2">
        <v>128</v>
      </c>
      <c r="B33" s="3" t="s">
        <v>278</v>
      </c>
      <c r="C33" s="4" t="s">
        <v>279</v>
      </c>
      <c r="D33" s="5">
        <v>0</v>
      </c>
      <c r="E33" s="5">
        <v>0</v>
      </c>
      <c r="F33" s="5">
        <v>16.7</v>
      </c>
      <c r="G33" s="5">
        <v>0</v>
      </c>
      <c r="H33" s="5">
        <v>0</v>
      </c>
      <c r="I33" s="5">
        <v>56.97</v>
      </c>
      <c r="J33" s="5">
        <v>0</v>
      </c>
      <c r="K33" s="5">
        <v>0</v>
      </c>
      <c r="L33" s="5">
        <v>28.96</v>
      </c>
      <c r="M33" s="5">
        <v>0</v>
      </c>
      <c r="N33" s="5">
        <v>8.7899999999999991</v>
      </c>
      <c r="O33" s="5">
        <v>40.71</v>
      </c>
      <c r="P33" s="5">
        <v>0</v>
      </c>
      <c r="Q33" s="5">
        <v>0</v>
      </c>
      <c r="R33" s="5">
        <v>40.590000000000003</v>
      </c>
      <c r="S33" s="10" t="str">
        <f>IF(COUNTIF([1]Country_Classifications!$B$2:$B$40, $B33)&gt;0, "Africa", "Others")</f>
        <v>Africa</v>
      </c>
    </row>
    <row r="34" spans="1:19" ht="15.75" customHeight="1" x14ac:dyDescent="0.35">
      <c r="A34" s="2">
        <v>131</v>
      </c>
      <c r="B34" s="3" t="s">
        <v>284</v>
      </c>
      <c r="C34" s="4" t="s">
        <v>285</v>
      </c>
      <c r="D34" s="5">
        <v>0</v>
      </c>
      <c r="E34" s="5">
        <v>7.69</v>
      </c>
      <c r="F34" s="5">
        <v>10.33</v>
      </c>
      <c r="G34" s="5">
        <v>0</v>
      </c>
      <c r="H34" s="5">
        <v>0</v>
      </c>
      <c r="I34" s="5">
        <v>22.8</v>
      </c>
      <c r="J34" s="5">
        <v>3.03</v>
      </c>
      <c r="K34" s="5">
        <v>20.51</v>
      </c>
      <c r="L34" s="5">
        <v>33.24</v>
      </c>
      <c r="M34" s="5">
        <v>0</v>
      </c>
      <c r="N34" s="5">
        <v>0</v>
      </c>
      <c r="O34" s="5">
        <v>46.09</v>
      </c>
      <c r="P34" s="5">
        <v>0</v>
      </c>
      <c r="Q34" s="5">
        <v>0</v>
      </c>
      <c r="R34" s="5">
        <v>17.62</v>
      </c>
      <c r="S34" s="10" t="str">
        <f>IF(COUNTIF([1]Country_Classifications!$B$2:$B$40, $B34)&gt;0, "Africa", "Others")</f>
        <v>Africa</v>
      </c>
    </row>
    <row r="35" spans="1:19" ht="15.75" hidden="1" customHeight="1" x14ac:dyDescent="0.35">
      <c r="A35" s="2">
        <v>26</v>
      </c>
      <c r="B35" s="3" t="s">
        <v>71</v>
      </c>
      <c r="C35" s="4" t="s">
        <v>72</v>
      </c>
      <c r="D35" s="5">
        <v>53.54</v>
      </c>
      <c r="E35" s="5">
        <v>23.08</v>
      </c>
      <c r="F35" s="5">
        <v>64.709999999999994</v>
      </c>
      <c r="G35" s="5">
        <v>48.13</v>
      </c>
      <c r="H35" s="5">
        <v>23.08</v>
      </c>
      <c r="I35" s="5">
        <v>50.48</v>
      </c>
      <c r="J35" s="5">
        <v>73.23</v>
      </c>
      <c r="K35" s="5">
        <v>51.28</v>
      </c>
      <c r="L35" s="5">
        <v>49.91</v>
      </c>
      <c r="M35" s="5">
        <v>49.86</v>
      </c>
      <c r="N35" s="5">
        <v>48.35</v>
      </c>
      <c r="O35" s="5">
        <v>67.17</v>
      </c>
      <c r="P35" s="5">
        <v>50.8</v>
      </c>
      <c r="Q35" s="5">
        <v>30</v>
      </c>
      <c r="R35" s="5">
        <v>70.41</v>
      </c>
      <c r="S35" s="10" t="str">
        <f>IF(COUNTIF([1]Country_Classifications!$B$2:$B$40, $B35)&gt;0, "Africa", "Others")</f>
        <v>Others</v>
      </c>
    </row>
    <row r="36" spans="1:19" ht="15.75" hidden="1" customHeight="1" x14ac:dyDescent="0.35">
      <c r="A36" s="2">
        <v>28</v>
      </c>
      <c r="B36" s="3" t="s">
        <v>75</v>
      </c>
      <c r="C36" s="4" t="s">
        <v>76</v>
      </c>
      <c r="D36" s="5">
        <v>63.64</v>
      </c>
      <c r="E36" s="5">
        <v>0</v>
      </c>
      <c r="F36" s="5">
        <v>82.13</v>
      </c>
      <c r="G36" s="5">
        <v>48.3</v>
      </c>
      <c r="H36" s="5">
        <v>7.69</v>
      </c>
      <c r="I36" s="5">
        <v>83.92</v>
      </c>
      <c r="J36" s="5">
        <v>51.01</v>
      </c>
      <c r="K36" s="5">
        <v>10.26</v>
      </c>
      <c r="L36" s="5">
        <v>67.75</v>
      </c>
      <c r="M36" s="5">
        <v>31.96</v>
      </c>
      <c r="N36" s="5">
        <v>0</v>
      </c>
      <c r="O36" s="5">
        <v>66.099999999999994</v>
      </c>
      <c r="P36" s="5">
        <v>44.7</v>
      </c>
      <c r="Q36" s="5">
        <v>32.5</v>
      </c>
      <c r="R36" s="5">
        <v>75.680000000000007</v>
      </c>
      <c r="S36" s="10" t="str">
        <f>IF(COUNTIF([1]Country_Classifications!$B$2:$B$40, $B36)&gt;0, "Africa", "Others")</f>
        <v>Others</v>
      </c>
    </row>
    <row r="37" spans="1:19" ht="15.75" hidden="1" customHeight="1" x14ac:dyDescent="0.35">
      <c r="A37" s="2">
        <v>6</v>
      </c>
      <c r="B37" s="3" t="s">
        <v>28</v>
      </c>
      <c r="C37" s="4" t="s">
        <v>29</v>
      </c>
      <c r="D37" s="5">
        <v>81.489999999999995</v>
      </c>
      <c r="E37" s="5">
        <v>76.92</v>
      </c>
      <c r="F37" s="5">
        <v>87.97</v>
      </c>
      <c r="G37" s="5">
        <v>77.22</v>
      </c>
      <c r="H37" s="5">
        <v>30.77</v>
      </c>
      <c r="I37" s="5">
        <v>75.430000000000007</v>
      </c>
      <c r="J37" s="5">
        <v>77.930000000000007</v>
      </c>
      <c r="K37" s="5">
        <v>30.77</v>
      </c>
      <c r="L37" s="5">
        <v>92.43</v>
      </c>
      <c r="M37" s="5">
        <v>77.56</v>
      </c>
      <c r="N37" s="5">
        <v>21.98</v>
      </c>
      <c r="O37" s="5">
        <v>93.78</v>
      </c>
      <c r="P37" s="5">
        <v>49.07</v>
      </c>
      <c r="Q37" s="5">
        <v>70</v>
      </c>
      <c r="R37" s="5">
        <v>83.29</v>
      </c>
      <c r="S37" s="10" t="str">
        <f>IF(COUNTIF([1]Country_Classifications!$B$2:$B$40, $B37)&gt;0, "Africa", "Others")</f>
        <v>Others</v>
      </c>
    </row>
    <row r="38" spans="1:19" ht="15.75" hidden="1" customHeight="1" x14ac:dyDescent="0.35">
      <c r="A38" s="2">
        <v>36</v>
      </c>
      <c r="B38" s="3" t="s">
        <v>91</v>
      </c>
      <c r="C38" s="4" t="s">
        <v>92</v>
      </c>
      <c r="D38" s="5">
        <v>48.48</v>
      </c>
      <c r="E38" s="5">
        <v>23.08</v>
      </c>
      <c r="F38" s="5">
        <v>66.81</v>
      </c>
      <c r="G38" s="5">
        <v>50.09</v>
      </c>
      <c r="H38" s="5">
        <v>7.69</v>
      </c>
      <c r="I38" s="5">
        <v>33.770000000000003</v>
      </c>
      <c r="J38" s="5">
        <v>50.25</v>
      </c>
      <c r="K38" s="5">
        <v>10.26</v>
      </c>
      <c r="L38" s="5">
        <v>56.25</v>
      </c>
      <c r="M38" s="5">
        <v>47.77</v>
      </c>
      <c r="N38" s="5">
        <v>0</v>
      </c>
      <c r="O38" s="5">
        <v>61.63</v>
      </c>
      <c r="P38" s="5">
        <v>46.21</v>
      </c>
      <c r="Q38" s="5">
        <v>30</v>
      </c>
      <c r="R38" s="5">
        <v>70.819999999999993</v>
      </c>
      <c r="S38" s="10" t="str">
        <f>IF(COUNTIF([1]Country_Classifications!$B$2:$B$40, $B38)&gt;0, "Africa", "Others")</f>
        <v>Others</v>
      </c>
    </row>
    <row r="39" spans="1:19" ht="15.75" customHeight="1" x14ac:dyDescent="0.35">
      <c r="A39" s="2">
        <v>123</v>
      </c>
      <c r="B39" s="3" t="s">
        <v>268</v>
      </c>
      <c r="C39" s="4" t="s">
        <v>269</v>
      </c>
      <c r="D39" s="5">
        <v>0</v>
      </c>
      <c r="E39" s="5">
        <v>0</v>
      </c>
      <c r="F39" s="5">
        <v>35.36</v>
      </c>
      <c r="G39" s="5">
        <v>0</v>
      </c>
      <c r="H39" s="5">
        <v>0</v>
      </c>
      <c r="I39" s="5">
        <v>18.690000000000001</v>
      </c>
      <c r="J39" s="5">
        <v>6.06</v>
      </c>
      <c r="K39" s="5">
        <v>0</v>
      </c>
      <c r="L39" s="5">
        <v>44.73</v>
      </c>
      <c r="M39" s="5">
        <v>0</v>
      </c>
      <c r="N39" s="5">
        <v>0</v>
      </c>
      <c r="O39" s="5">
        <v>64.19</v>
      </c>
      <c r="P39" s="5">
        <v>0</v>
      </c>
      <c r="Q39" s="5">
        <v>0</v>
      </c>
      <c r="R39" s="5">
        <v>38.93</v>
      </c>
      <c r="S39" s="10" t="str">
        <f>IF(COUNTIF([1]Country_Classifications!$B$2:$B$40, $B39)&gt;0, "Africa", "Others")</f>
        <v>Africa</v>
      </c>
    </row>
    <row r="40" spans="1:19" ht="15.75" hidden="1" customHeight="1" x14ac:dyDescent="0.35">
      <c r="A40" s="2">
        <v>96</v>
      </c>
      <c r="B40" s="3" t="s">
        <v>214</v>
      </c>
      <c r="C40" s="4" t="s">
        <v>215</v>
      </c>
      <c r="D40" s="5">
        <v>4.04</v>
      </c>
      <c r="E40" s="5">
        <v>0</v>
      </c>
      <c r="F40" s="5">
        <v>54.31</v>
      </c>
      <c r="G40" s="5">
        <v>11.36</v>
      </c>
      <c r="H40" s="5">
        <v>0</v>
      </c>
      <c r="I40" s="5">
        <v>51.15</v>
      </c>
      <c r="J40" s="5">
        <v>10.35</v>
      </c>
      <c r="K40" s="5">
        <v>20.51</v>
      </c>
      <c r="L40" s="5">
        <v>39.06</v>
      </c>
      <c r="M40" s="5">
        <v>2.46</v>
      </c>
      <c r="N40" s="5">
        <v>0</v>
      </c>
      <c r="O40" s="5">
        <v>72.56</v>
      </c>
      <c r="P40" s="5">
        <v>3.03</v>
      </c>
      <c r="Q40" s="5">
        <v>38.75</v>
      </c>
      <c r="R40" s="5">
        <v>63.13</v>
      </c>
      <c r="S40" s="10" t="str">
        <f>IF(COUNTIF([1]Country_Classifications!$B$2:$B$40, $B40)&gt;0, "Africa", "Others")</f>
        <v>Others</v>
      </c>
    </row>
    <row r="41" spans="1:19" ht="15.75" customHeight="1" x14ac:dyDescent="0.35">
      <c r="A41" s="2">
        <v>48</v>
      </c>
      <c r="B41" s="3" t="s">
        <v>118</v>
      </c>
      <c r="C41" s="4" t="s">
        <v>119</v>
      </c>
      <c r="D41" s="5">
        <v>38.64</v>
      </c>
      <c r="E41" s="5">
        <v>7.69</v>
      </c>
      <c r="F41" s="5">
        <v>44.2</v>
      </c>
      <c r="G41" s="5">
        <v>37.69</v>
      </c>
      <c r="H41" s="5">
        <v>100</v>
      </c>
      <c r="I41" s="5">
        <v>23.09</v>
      </c>
      <c r="J41" s="5">
        <v>62.37</v>
      </c>
      <c r="K41" s="5">
        <v>20.51</v>
      </c>
      <c r="L41" s="5">
        <v>36.01</v>
      </c>
      <c r="M41" s="5">
        <v>37.64</v>
      </c>
      <c r="N41" s="5">
        <v>26.37</v>
      </c>
      <c r="O41" s="5">
        <v>75.89</v>
      </c>
      <c r="P41" s="5">
        <v>23.48</v>
      </c>
      <c r="Q41" s="5">
        <v>47.5</v>
      </c>
      <c r="R41" s="5">
        <v>41.51</v>
      </c>
      <c r="S41" s="10" t="str">
        <f>IF(COUNTIF([1]Country_Classifications!$B$2:$B$40, $B41)&gt;0, "Africa", "Others")</f>
        <v>Africa</v>
      </c>
    </row>
    <row r="42" spans="1:19" ht="15.75" hidden="1" customHeight="1" x14ac:dyDescent="0.35">
      <c r="A42" s="2">
        <v>12</v>
      </c>
      <c r="B42" s="3" t="s">
        <v>41</v>
      </c>
      <c r="C42" s="4" t="s">
        <v>42</v>
      </c>
      <c r="D42" s="5">
        <v>77.45</v>
      </c>
      <c r="E42" s="5">
        <v>23.08</v>
      </c>
      <c r="F42" s="5">
        <v>84.59</v>
      </c>
      <c r="G42" s="5">
        <v>68.84</v>
      </c>
      <c r="H42" s="5">
        <v>38.46</v>
      </c>
      <c r="I42" s="5">
        <v>76.13</v>
      </c>
      <c r="J42" s="5">
        <v>72.37</v>
      </c>
      <c r="K42" s="5">
        <v>61.54</v>
      </c>
      <c r="L42" s="5">
        <v>86.1</v>
      </c>
      <c r="M42" s="5">
        <v>73.010000000000005</v>
      </c>
      <c r="N42" s="5">
        <v>26.37</v>
      </c>
      <c r="O42" s="5">
        <v>91.17</v>
      </c>
      <c r="P42" s="5">
        <v>23.23</v>
      </c>
      <c r="Q42" s="5">
        <v>2.5</v>
      </c>
      <c r="R42" s="5">
        <v>80.03</v>
      </c>
      <c r="S42" s="10" t="str">
        <f>IF(COUNTIF([1]Country_Classifications!$B$2:$B$40, $B42)&gt;0, "Africa", "Others")</f>
        <v>Others</v>
      </c>
    </row>
    <row r="43" spans="1:19" ht="15.75" hidden="1" customHeight="1" x14ac:dyDescent="0.35">
      <c r="A43" s="2">
        <v>10</v>
      </c>
      <c r="B43" s="3" t="s">
        <v>36</v>
      </c>
      <c r="C43" s="4" t="s">
        <v>37</v>
      </c>
      <c r="D43" s="5">
        <v>78.959999999999994</v>
      </c>
      <c r="E43" s="5">
        <v>7.69</v>
      </c>
      <c r="F43" s="5">
        <v>94.54</v>
      </c>
      <c r="G43" s="5">
        <v>55.4</v>
      </c>
      <c r="H43" s="5">
        <v>15.38</v>
      </c>
      <c r="I43" s="5">
        <v>72.3</v>
      </c>
      <c r="J43" s="5">
        <v>52.17</v>
      </c>
      <c r="K43" s="5">
        <v>30.77</v>
      </c>
      <c r="L43" s="5">
        <v>81.150000000000006</v>
      </c>
      <c r="M43" s="5">
        <v>73.010000000000005</v>
      </c>
      <c r="N43" s="5">
        <v>8.7899999999999991</v>
      </c>
      <c r="O43" s="5">
        <v>92.05</v>
      </c>
      <c r="P43" s="5">
        <v>52.21</v>
      </c>
      <c r="Q43" s="5">
        <v>0</v>
      </c>
      <c r="R43" s="5">
        <v>97.04</v>
      </c>
      <c r="S43" s="10" t="str">
        <f>IF(COUNTIF([1]Country_Classifications!$B$2:$B$40, $B43)&gt;0, "Africa", "Others")</f>
        <v>Others</v>
      </c>
    </row>
    <row r="44" spans="1:19" ht="15.75" customHeight="1" x14ac:dyDescent="0.35">
      <c r="A44" s="2">
        <v>73</v>
      </c>
      <c r="B44" s="3" t="s">
        <v>168</v>
      </c>
      <c r="C44" s="4" t="s">
        <v>169</v>
      </c>
      <c r="D44" s="5">
        <v>19.57</v>
      </c>
      <c r="E44" s="5">
        <v>0</v>
      </c>
      <c r="F44" s="5">
        <v>20.59</v>
      </c>
      <c r="G44" s="5">
        <v>47.63</v>
      </c>
      <c r="H44" s="5">
        <v>0</v>
      </c>
      <c r="I44" s="5">
        <v>63.92</v>
      </c>
      <c r="J44" s="5">
        <v>64.14</v>
      </c>
      <c r="K44" s="5">
        <v>0</v>
      </c>
      <c r="L44" s="5">
        <v>15.3</v>
      </c>
      <c r="M44" s="5">
        <v>33.43</v>
      </c>
      <c r="N44" s="5">
        <v>4.4000000000000004</v>
      </c>
      <c r="O44" s="5">
        <v>41.05</v>
      </c>
      <c r="P44" s="5">
        <v>3.03</v>
      </c>
      <c r="Q44" s="5">
        <v>0</v>
      </c>
      <c r="R44" s="5">
        <v>44.26</v>
      </c>
      <c r="S44" s="10" t="str">
        <f>IF(COUNTIF([1]Country_Classifications!$B$2:$B$40, $B44)&gt;0, "Africa", "Others")</f>
        <v>Africa</v>
      </c>
    </row>
    <row r="45" spans="1:19" ht="15.75" hidden="1" customHeight="1" x14ac:dyDescent="0.35">
      <c r="A45" s="2">
        <v>4</v>
      </c>
      <c r="B45" s="3" t="s">
        <v>24</v>
      </c>
      <c r="C45" s="4" t="s">
        <v>25</v>
      </c>
      <c r="D45" s="5">
        <v>72.78</v>
      </c>
      <c r="E45" s="5">
        <v>30.77</v>
      </c>
      <c r="F45" s="5">
        <v>93.32</v>
      </c>
      <c r="G45" s="5">
        <v>70.28</v>
      </c>
      <c r="H45" s="5">
        <v>80</v>
      </c>
      <c r="I45" s="5">
        <v>85.77</v>
      </c>
      <c r="J45" s="5">
        <v>73.38</v>
      </c>
      <c r="K45" s="5">
        <v>51.28</v>
      </c>
      <c r="L45" s="5">
        <v>85.33</v>
      </c>
      <c r="M45" s="5">
        <v>75.28</v>
      </c>
      <c r="N45" s="5">
        <v>38.68</v>
      </c>
      <c r="O45" s="5">
        <v>85.03</v>
      </c>
      <c r="P45" s="5">
        <v>72.349999999999994</v>
      </c>
      <c r="Q45" s="5">
        <v>87.5</v>
      </c>
      <c r="R45" s="5">
        <v>86.52</v>
      </c>
      <c r="S45" s="10" t="str">
        <f>IF(COUNTIF([1]Country_Classifications!$B$2:$B$40, $B45)&gt;0, "Africa", "Others")</f>
        <v>Others</v>
      </c>
    </row>
    <row r="46" spans="1:19" ht="15.75" hidden="1" customHeight="1" x14ac:dyDescent="0.35">
      <c r="A46" s="2">
        <v>7</v>
      </c>
      <c r="B46" s="3" t="s">
        <v>30</v>
      </c>
      <c r="C46" s="4" t="s">
        <v>31</v>
      </c>
      <c r="D46" s="5">
        <v>80.83</v>
      </c>
      <c r="E46" s="5">
        <v>30.77</v>
      </c>
      <c r="F46" s="5">
        <v>87.3</v>
      </c>
      <c r="G46" s="5">
        <v>78.5</v>
      </c>
      <c r="H46" s="5">
        <v>53.85</v>
      </c>
      <c r="I46" s="5">
        <v>74.290000000000006</v>
      </c>
      <c r="J46" s="5">
        <v>81.14</v>
      </c>
      <c r="K46" s="5">
        <v>49.23</v>
      </c>
      <c r="L46" s="5">
        <v>82.17</v>
      </c>
      <c r="M46" s="5">
        <v>63.58</v>
      </c>
      <c r="N46" s="5">
        <v>48.35</v>
      </c>
      <c r="O46" s="5">
        <v>76.739999999999995</v>
      </c>
      <c r="P46" s="5">
        <v>49.46</v>
      </c>
      <c r="Q46" s="5">
        <v>90</v>
      </c>
      <c r="R46" s="5">
        <v>87.29</v>
      </c>
      <c r="S46" s="10" t="str">
        <f>IF(COUNTIF([1]Country_Classifications!$B$2:$B$40, $B46)&gt;0, "Africa", "Others")</f>
        <v>Others</v>
      </c>
    </row>
    <row r="47" spans="1:19" ht="15.75" hidden="1" customHeight="1" x14ac:dyDescent="0.35">
      <c r="A47" s="2">
        <v>69</v>
      </c>
      <c r="B47" s="3" t="s">
        <v>160</v>
      </c>
      <c r="C47" s="4" t="s">
        <v>161</v>
      </c>
      <c r="D47" s="5">
        <v>0</v>
      </c>
      <c r="E47" s="5">
        <v>7.69</v>
      </c>
      <c r="F47" s="5">
        <v>58.51</v>
      </c>
      <c r="G47" s="5">
        <v>49.05</v>
      </c>
      <c r="H47" s="5">
        <v>0</v>
      </c>
      <c r="I47" s="5">
        <v>68.25</v>
      </c>
      <c r="J47" s="5">
        <v>0</v>
      </c>
      <c r="K47" s="5">
        <v>20.51</v>
      </c>
      <c r="L47" s="5">
        <v>61.71</v>
      </c>
      <c r="M47" s="5">
        <v>52.61</v>
      </c>
      <c r="N47" s="5">
        <v>0</v>
      </c>
      <c r="O47" s="5">
        <v>77.47</v>
      </c>
      <c r="P47" s="5">
        <v>0</v>
      </c>
      <c r="Q47" s="5">
        <v>0</v>
      </c>
      <c r="R47" s="5">
        <v>61.83</v>
      </c>
      <c r="S47" s="10" t="str">
        <f>IF(COUNTIF([1]Country_Classifications!$B$2:$B$40, $B47)&gt;0, "Africa", "Others")</f>
        <v>Others</v>
      </c>
    </row>
    <row r="48" spans="1:19" ht="15.75" customHeight="1" x14ac:dyDescent="0.35">
      <c r="A48" s="2">
        <v>56</v>
      </c>
      <c r="B48" s="3" t="s">
        <v>134</v>
      </c>
      <c r="C48" s="4" t="s">
        <v>135</v>
      </c>
      <c r="D48" s="5">
        <v>20.83</v>
      </c>
      <c r="E48" s="5">
        <v>0</v>
      </c>
      <c r="F48" s="5">
        <v>49.55</v>
      </c>
      <c r="G48" s="5">
        <v>57.14</v>
      </c>
      <c r="H48" s="5">
        <v>0</v>
      </c>
      <c r="I48" s="5">
        <v>45.3</v>
      </c>
      <c r="J48" s="5">
        <v>44.19</v>
      </c>
      <c r="K48" s="5">
        <v>20.51</v>
      </c>
      <c r="L48" s="5">
        <v>42.07</v>
      </c>
      <c r="M48" s="5">
        <v>16.25</v>
      </c>
      <c r="N48" s="5">
        <v>4.4000000000000004</v>
      </c>
      <c r="O48" s="5">
        <v>78.89</v>
      </c>
      <c r="P48" s="5">
        <v>42.99</v>
      </c>
      <c r="Q48" s="5">
        <v>45</v>
      </c>
      <c r="R48" s="5">
        <v>65.2</v>
      </c>
      <c r="S48" s="10" t="str">
        <f>IF(COUNTIF([1]Country_Classifications!$B$2:$B$40, $B48)&gt;0, "Africa", "Others")</f>
        <v>Africa</v>
      </c>
    </row>
    <row r="49" spans="1:19" ht="15.75" customHeight="1" x14ac:dyDescent="0.35">
      <c r="A49" s="2">
        <v>118</v>
      </c>
      <c r="B49" s="3" t="s">
        <v>258</v>
      </c>
      <c r="C49" s="4" t="s">
        <v>259</v>
      </c>
      <c r="D49" s="5">
        <v>0</v>
      </c>
      <c r="E49" s="5">
        <v>0</v>
      </c>
      <c r="F49" s="5">
        <v>39.15</v>
      </c>
      <c r="G49" s="5">
        <v>0</v>
      </c>
      <c r="H49" s="5">
        <v>0</v>
      </c>
      <c r="I49" s="5">
        <v>50.32</v>
      </c>
      <c r="J49" s="5">
        <v>3.03</v>
      </c>
      <c r="K49" s="5">
        <v>0</v>
      </c>
      <c r="L49" s="5">
        <v>28.87</v>
      </c>
      <c r="M49" s="5">
        <v>0</v>
      </c>
      <c r="N49" s="5">
        <v>0</v>
      </c>
      <c r="O49" s="5">
        <v>61.7</v>
      </c>
      <c r="P49" s="5">
        <v>0</v>
      </c>
      <c r="Q49" s="5">
        <v>0</v>
      </c>
      <c r="R49" s="5">
        <v>42.55</v>
      </c>
      <c r="S49" s="10" t="str">
        <f>IF(COUNTIF([1]Country_Classifications!$B$2:$B$40, $B49)&gt;0, "Africa", "Others")</f>
        <v>Africa</v>
      </c>
    </row>
    <row r="50" spans="1:19" ht="15.75" customHeight="1" x14ac:dyDescent="0.35">
      <c r="A50" s="2">
        <v>80</v>
      </c>
      <c r="B50" s="3" t="s">
        <v>182</v>
      </c>
      <c r="C50" s="4" t="s">
        <v>183</v>
      </c>
      <c r="D50" s="5">
        <v>22.1</v>
      </c>
      <c r="E50" s="5">
        <v>0</v>
      </c>
      <c r="F50" s="5">
        <v>46.04</v>
      </c>
      <c r="G50" s="5">
        <v>30.11</v>
      </c>
      <c r="H50" s="5">
        <v>0</v>
      </c>
      <c r="I50" s="5">
        <v>21.8</v>
      </c>
      <c r="J50" s="5">
        <v>45.96</v>
      </c>
      <c r="K50" s="5">
        <v>20.51</v>
      </c>
      <c r="L50" s="5">
        <v>27.08</v>
      </c>
      <c r="M50" s="5">
        <v>18.61</v>
      </c>
      <c r="N50" s="5">
        <v>0</v>
      </c>
      <c r="O50" s="5">
        <v>61.57</v>
      </c>
      <c r="P50" s="5">
        <v>20.329999999999998</v>
      </c>
      <c r="Q50" s="5">
        <v>0</v>
      </c>
      <c r="R50" s="5">
        <v>32.24</v>
      </c>
      <c r="S50" s="10" t="str">
        <f>IF(COUNTIF([1]Country_Classifications!$B$2:$B$40, $B50)&gt;0, "Africa", "Others")</f>
        <v>Africa</v>
      </c>
    </row>
    <row r="51" spans="1:19" ht="15.75" hidden="1" customHeight="1" x14ac:dyDescent="0.35">
      <c r="A51" s="2">
        <v>13</v>
      </c>
      <c r="B51" s="3" t="s">
        <v>43</v>
      </c>
      <c r="C51" s="4" t="s">
        <v>44</v>
      </c>
      <c r="D51" s="5">
        <v>67.349999999999994</v>
      </c>
      <c r="E51" s="5">
        <v>69.23</v>
      </c>
      <c r="F51" s="5">
        <v>71.86</v>
      </c>
      <c r="G51" s="5">
        <v>65.44</v>
      </c>
      <c r="H51" s="5">
        <v>61.54</v>
      </c>
      <c r="I51" s="5">
        <v>54.74</v>
      </c>
      <c r="J51" s="5">
        <v>67.83</v>
      </c>
      <c r="K51" s="5">
        <v>41.03</v>
      </c>
      <c r="L51" s="5">
        <v>71.23</v>
      </c>
      <c r="M51" s="5">
        <v>68.47</v>
      </c>
      <c r="N51" s="5">
        <v>35.159999999999997</v>
      </c>
      <c r="O51" s="5">
        <v>89.32</v>
      </c>
      <c r="P51" s="5">
        <v>68.209999999999994</v>
      </c>
      <c r="Q51" s="5">
        <v>32.5</v>
      </c>
      <c r="R51" s="5">
        <v>75.98</v>
      </c>
      <c r="S51" s="10" t="str">
        <f>IF(COUNTIF([1]Country_Classifications!$B$2:$B$40, $B51)&gt;0, "Africa", "Others")</f>
        <v>Others</v>
      </c>
    </row>
    <row r="52" spans="1:19" ht="15.75" hidden="1" customHeight="1" x14ac:dyDescent="0.35">
      <c r="A52" s="2">
        <v>43</v>
      </c>
      <c r="B52" s="3" t="s">
        <v>108</v>
      </c>
      <c r="C52" s="4" t="s">
        <v>109</v>
      </c>
      <c r="D52" s="5">
        <v>42.93</v>
      </c>
      <c r="E52" s="5">
        <v>15.38</v>
      </c>
      <c r="F52" s="5">
        <v>67.900000000000006</v>
      </c>
      <c r="G52" s="5">
        <v>29.73</v>
      </c>
      <c r="H52" s="5">
        <v>0</v>
      </c>
      <c r="I52" s="5">
        <v>38.14</v>
      </c>
      <c r="J52" s="5">
        <v>31.06</v>
      </c>
      <c r="K52" s="5">
        <v>10.26</v>
      </c>
      <c r="L52" s="5">
        <v>73.34</v>
      </c>
      <c r="M52" s="5">
        <v>42.09</v>
      </c>
      <c r="N52" s="5">
        <v>8.7899999999999991</v>
      </c>
      <c r="O52" s="5">
        <v>95.38</v>
      </c>
      <c r="P52" s="5">
        <v>29.17</v>
      </c>
      <c r="Q52" s="5">
        <v>40</v>
      </c>
      <c r="R52" s="5">
        <v>62.81</v>
      </c>
      <c r="S52" s="10" t="str">
        <f>IF(COUNTIF([1]Country_Classifications!$B$2:$B$40, $B52)&gt;0, "Africa", "Others")</f>
        <v>Others</v>
      </c>
    </row>
    <row r="53" spans="1:19" ht="15.75" hidden="1" customHeight="1" x14ac:dyDescent="0.35">
      <c r="A53" s="2">
        <v>112</v>
      </c>
      <c r="B53" s="3" t="s">
        <v>246</v>
      </c>
      <c r="C53" s="4" t="s">
        <v>247</v>
      </c>
      <c r="D53" s="5">
        <v>0</v>
      </c>
      <c r="E53" s="5">
        <v>0</v>
      </c>
      <c r="F53" s="5">
        <v>52.32</v>
      </c>
      <c r="G53" s="5">
        <v>0</v>
      </c>
      <c r="H53" s="5">
        <v>0</v>
      </c>
      <c r="I53" s="5">
        <v>40.1</v>
      </c>
      <c r="J53" s="5">
        <v>3.03</v>
      </c>
      <c r="K53" s="5">
        <v>20.51</v>
      </c>
      <c r="L53" s="5">
        <v>42.34</v>
      </c>
      <c r="M53" s="5">
        <v>0</v>
      </c>
      <c r="N53" s="5">
        <v>8.7899999999999991</v>
      </c>
      <c r="O53" s="5">
        <v>48.26</v>
      </c>
      <c r="P53" s="5">
        <v>0</v>
      </c>
      <c r="Q53" s="5">
        <v>0</v>
      </c>
      <c r="R53" s="5">
        <v>61.74</v>
      </c>
      <c r="S53" s="10" t="str">
        <f>IF(COUNTIF([1]Country_Classifications!$B$2:$B$40, $B53)&gt;0, "Africa", "Others")</f>
        <v>Others</v>
      </c>
    </row>
    <row r="54" spans="1:19" ht="15.75" hidden="1" customHeight="1" x14ac:dyDescent="0.35">
      <c r="A54" s="2">
        <v>35</v>
      </c>
      <c r="B54" s="3" t="s">
        <v>89</v>
      </c>
      <c r="C54" s="4" t="s">
        <v>90</v>
      </c>
      <c r="D54" s="5">
        <v>47.9</v>
      </c>
      <c r="E54" s="5">
        <v>7.69</v>
      </c>
      <c r="F54" s="5">
        <v>75.680000000000007</v>
      </c>
      <c r="G54" s="5">
        <v>50.85</v>
      </c>
      <c r="H54" s="5">
        <v>7.69</v>
      </c>
      <c r="I54" s="5">
        <v>67.81</v>
      </c>
      <c r="J54" s="5">
        <v>38.22</v>
      </c>
      <c r="K54" s="5">
        <v>0</v>
      </c>
      <c r="L54" s="5">
        <v>74.010000000000005</v>
      </c>
      <c r="M54" s="5">
        <v>68.47</v>
      </c>
      <c r="N54" s="5">
        <v>13.19</v>
      </c>
      <c r="O54" s="5">
        <v>90.08</v>
      </c>
      <c r="P54" s="5">
        <v>3.03</v>
      </c>
      <c r="Q54" s="5">
        <v>0</v>
      </c>
      <c r="R54" s="5">
        <v>67.92</v>
      </c>
      <c r="S54" s="10" t="str">
        <f>IF(COUNTIF([1]Country_Classifications!$B$2:$B$40, $B54)&gt;0, "Africa", "Others")</f>
        <v>Others</v>
      </c>
    </row>
    <row r="55" spans="1:19" ht="15.75" hidden="1" customHeight="1" x14ac:dyDescent="0.35">
      <c r="A55" s="2">
        <v>130</v>
      </c>
      <c r="B55" s="3" t="s">
        <v>282</v>
      </c>
      <c r="C55" s="4" t="s">
        <v>283</v>
      </c>
      <c r="D55" s="5">
        <v>0</v>
      </c>
      <c r="E55" s="5">
        <v>0</v>
      </c>
      <c r="F55" s="5">
        <v>34.81</v>
      </c>
      <c r="G55" s="5">
        <v>0</v>
      </c>
      <c r="H55" s="5">
        <v>0</v>
      </c>
      <c r="I55" s="5">
        <v>16.55</v>
      </c>
      <c r="J55" s="5">
        <v>3.03</v>
      </c>
      <c r="K55" s="5">
        <v>0</v>
      </c>
      <c r="L55" s="5">
        <v>28.72</v>
      </c>
      <c r="M55" s="5">
        <v>0</v>
      </c>
      <c r="N55" s="5">
        <v>0</v>
      </c>
      <c r="O55" s="5">
        <v>27.8</v>
      </c>
      <c r="P55" s="5">
        <v>3.03</v>
      </c>
      <c r="Q55" s="5">
        <v>0</v>
      </c>
      <c r="R55" s="5">
        <v>29.29</v>
      </c>
      <c r="S55" s="10" t="str">
        <f>IF(COUNTIF([1]Country_Classifications!$B$2:$B$40, $B55)&gt;0, "Africa", "Others")</f>
        <v>Others</v>
      </c>
    </row>
    <row r="56" spans="1:19" ht="15.75" hidden="1" customHeight="1" x14ac:dyDescent="0.35">
      <c r="A56" s="2">
        <v>29</v>
      </c>
      <c r="B56" s="3" t="s">
        <v>77</v>
      </c>
      <c r="C56" s="4" t="s">
        <v>78</v>
      </c>
      <c r="D56" s="5">
        <v>67.22</v>
      </c>
      <c r="E56" s="5">
        <v>7.69</v>
      </c>
      <c r="F56" s="5">
        <v>70.44</v>
      </c>
      <c r="G56" s="5">
        <v>48.58</v>
      </c>
      <c r="H56" s="5">
        <v>7.69</v>
      </c>
      <c r="I56" s="5">
        <v>65.67</v>
      </c>
      <c r="J56" s="5">
        <v>51.22</v>
      </c>
      <c r="K56" s="5">
        <v>0</v>
      </c>
      <c r="L56" s="5">
        <v>62.62</v>
      </c>
      <c r="M56" s="5">
        <v>68.47</v>
      </c>
      <c r="N56" s="5">
        <v>4.4000000000000004</v>
      </c>
      <c r="O56" s="5">
        <v>91.93</v>
      </c>
      <c r="P56" s="5">
        <v>19.82</v>
      </c>
      <c r="Q56" s="5">
        <v>0</v>
      </c>
      <c r="R56" s="5">
        <v>60.01</v>
      </c>
      <c r="S56" s="10" t="str">
        <f>IF(COUNTIF([1]Country_Classifications!$B$2:$B$40, $B56)&gt;0, "Africa", "Others")</f>
        <v>Others</v>
      </c>
    </row>
    <row r="57" spans="1:19" ht="15.75" hidden="1" customHeight="1" x14ac:dyDescent="0.35">
      <c r="A57" s="2">
        <v>53</v>
      </c>
      <c r="B57" s="3" t="s">
        <v>128</v>
      </c>
      <c r="C57" s="4" t="s">
        <v>129</v>
      </c>
      <c r="D57" s="5">
        <v>29.04</v>
      </c>
      <c r="E57" s="5">
        <v>38.46</v>
      </c>
      <c r="F57" s="5">
        <v>61.17</v>
      </c>
      <c r="G57" s="5">
        <v>37.5</v>
      </c>
      <c r="H57" s="5">
        <v>23.08</v>
      </c>
      <c r="I57" s="5">
        <v>33.1</v>
      </c>
      <c r="J57" s="5">
        <v>51.01</v>
      </c>
      <c r="K57" s="5">
        <v>10.26</v>
      </c>
      <c r="L57" s="5">
        <v>63.62</v>
      </c>
      <c r="M57" s="5">
        <v>36.65</v>
      </c>
      <c r="N57" s="5">
        <v>8.7899999999999991</v>
      </c>
      <c r="O57" s="5">
        <v>69.680000000000007</v>
      </c>
      <c r="P57" s="5">
        <v>3.03</v>
      </c>
      <c r="Q57" s="5">
        <v>40</v>
      </c>
      <c r="R57" s="5">
        <v>64.95</v>
      </c>
      <c r="S57" s="10" t="str">
        <f>IF(COUNTIF([1]Country_Classifications!$B$2:$B$40, $B57)&gt;0, "Africa", "Others")</f>
        <v>Others</v>
      </c>
    </row>
    <row r="58" spans="1:19" ht="15.75" hidden="1" customHeight="1" x14ac:dyDescent="0.35">
      <c r="A58" s="2">
        <v>46</v>
      </c>
      <c r="B58" s="3" t="s">
        <v>114</v>
      </c>
      <c r="C58" s="4" t="s">
        <v>115</v>
      </c>
      <c r="D58" s="5">
        <v>63.11</v>
      </c>
      <c r="E58" s="5">
        <v>38.46</v>
      </c>
      <c r="F58" s="5">
        <v>41.57</v>
      </c>
      <c r="G58" s="5">
        <v>30.68</v>
      </c>
      <c r="H58" s="5">
        <v>100</v>
      </c>
      <c r="I58" s="5">
        <v>37.32</v>
      </c>
      <c r="J58" s="5">
        <v>33.71</v>
      </c>
      <c r="K58" s="5">
        <v>51.28</v>
      </c>
      <c r="L58" s="5">
        <v>50.65</v>
      </c>
      <c r="M58" s="5">
        <v>50.26</v>
      </c>
      <c r="N58" s="5">
        <v>35.159999999999997</v>
      </c>
      <c r="O58" s="5">
        <v>77.56</v>
      </c>
      <c r="P58" s="5">
        <v>22.22</v>
      </c>
      <c r="Q58" s="5">
        <v>0</v>
      </c>
      <c r="R58" s="5">
        <v>66.55</v>
      </c>
      <c r="S58" s="10" t="str">
        <f>IF(COUNTIF([1]Country_Classifications!$B$2:$B$40, $B58)&gt;0, "Africa", "Others")</f>
        <v>Others</v>
      </c>
    </row>
    <row r="59" spans="1:19" ht="15.75" hidden="1" customHeight="1" x14ac:dyDescent="0.35">
      <c r="A59" s="2">
        <v>3</v>
      </c>
      <c r="B59" s="3" t="s">
        <v>22</v>
      </c>
      <c r="C59" s="4" t="s">
        <v>23</v>
      </c>
      <c r="D59" s="5">
        <v>64.319999999999993</v>
      </c>
      <c r="E59" s="5">
        <v>30.77</v>
      </c>
      <c r="F59" s="5">
        <v>97.22</v>
      </c>
      <c r="G59" s="5">
        <v>72.06</v>
      </c>
      <c r="H59" s="5">
        <v>38.46</v>
      </c>
      <c r="I59" s="5">
        <v>68.95</v>
      </c>
      <c r="J59" s="5">
        <v>72.37</v>
      </c>
      <c r="K59" s="5">
        <v>51.28</v>
      </c>
      <c r="L59" s="5">
        <v>93</v>
      </c>
      <c r="M59" s="5">
        <v>74.09</v>
      </c>
      <c r="N59" s="5">
        <v>35.159999999999997</v>
      </c>
      <c r="O59" s="5">
        <v>95.42</v>
      </c>
      <c r="P59" s="5">
        <v>49.62</v>
      </c>
      <c r="Q59" s="5">
        <v>72.5</v>
      </c>
      <c r="R59" s="5">
        <v>94.2</v>
      </c>
      <c r="S59" s="10" t="str">
        <f>IF(COUNTIF([1]Country_Classifications!$B$2:$B$40, $B59)&gt;0, "Africa", "Others")</f>
        <v>Others</v>
      </c>
    </row>
    <row r="60" spans="1:19" ht="15.75" hidden="1" customHeight="1" x14ac:dyDescent="0.35">
      <c r="A60" s="2">
        <v>41</v>
      </c>
      <c r="B60" s="3" t="s">
        <v>103</v>
      </c>
      <c r="C60" s="4" t="s">
        <v>104</v>
      </c>
      <c r="D60" s="5">
        <v>34.47</v>
      </c>
      <c r="E60" s="5">
        <v>76.92</v>
      </c>
      <c r="F60" s="5">
        <v>79.3</v>
      </c>
      <c r="G60" s="5">
        <v>46.78</v>
      </c>
      <c r="H60" s="5">
        <v>76.92</v>
      </c>
      <c r="I60" s="5">
        <v>40.659999999999997</v>
      </c>
      <c r="J60" s="5">
        <v>40.299999999999997</v>
      </c>
      <c r="K60" s="5">
        <v>30.77</v>
      </c>
      <c r="L60" s="5">
        <v>59.22</v>
      </c>
      <c r="M60" s="5">
        <v>36.29</v>
      </c>
      <c r="N60" s="5">
        <v>39.56</v>
      </c>
      <c r="O60" s="5">
        <v>61.14</v>
      </c>
      <c r="P60" s="5">
        <v>39.840000000000003</v>
      </c>
      <c r="Q60" s="5">
        <v>95</v>
      </c>
      <c r="R60" s="5">
        <v>59.13</v>
      </c>
      <c r="S60" s="10" t="str">
        <f>IF(COUNTIF([1]Country_Classifications!$B$2:$B$40, $B60)&gt;0, "Africa", "Others")</f>
        <v>Others</v>
      </c>
    </row>
    <row r="61" spans="1:19" ht="15.75" hidden="1" customHeight="1" x14ac:dyDescent="0.35">
      <c r="A61" s="2">
        <v>2</v>
      </c>
      <c r="B61" s="3" t="s">
        <v>20</v>
      </c>
      <c r="C61" s="4" t="s">
        <v>21</v>
      </c>
      <c r="D61" s="5">
        <v>69.650000000000006</v>
      </c>
      <c r="E61" s="5">
        <v>15.38</v>
      </c>
      <c r="F61" s="5">
        <v>83.48</v>
      </c>
      <c r="G61" s="5">
        <v>80.28</v>
      </c>
      <c r="H61" s="5">
        <v>76.92</v>
      </c>
      <c r="I61" s="5">
        <v>59.08</v>
      </c>
      <c r="J61" s="5">
        <v>73.16</v>
      </c>
      <c r="K61" s="5">
        <v>65.64</v>
      </c>
      <c r="L61" s="5">
        <v>70.86</v>
      </c>
      <c r="M61" s="5">
        <v>79.83</v>
      </c>
      <c r="N61" s="5">
        <v>30.77</v>
      </c>
      <c r="O61" s="5">
        <v>95.05</v>
      </c>
      <c r="P61" s="5">
        <v>66.569999999999993</v>
      </c>
      <c r="Q61" s="5">
        <v>70</v>
      </c>
      <c r="R61" s="5">
        <v>78.2</v>
      </c>
      <c r="S61" s="10" t="str">
        <f>IF(COUNTIF([1]Country_Classifications!$B$2:$B$40, $B61)&gt;0, "Africa", "Others")</f>
        <v>Others</v>
      </c>
    </row>
    <row r="62" spans="1:19" ht="15.75" hidden="1" customHeight="1" x14ac:dyDescent="0.35">
      <c r="A62" s="2">
        <v>88</v>
      </c>
      <c r="B62" s="3" t="s">
        <v>198</v>
      </c>
      <c r="C62" s="4" t="s">
        <v>199</v>
      </c>
      <c r="D62" s="5">
        <v>0</v>
      </c>
      <c r="E62" s="5">
        <v>7.69</v>
      </c>
      <c r="F62" s="5">
        <v>71.23</v>
      </c>
      <c r="G62" s="5">
        <v>35.97</v>
      </c>
      <c r="H62" s="5">
        <v>0</v>
      </c>
      <c r="I62" s="5">
        <v>31.91</v>
      </c>
      <c r="J62" s="5">
        <v>9.09</v>
      </c>
      <c r="K62" s="5">
        <v>30.77</v>
      </c>
      <c r="L62" s="5">
        <v>60.44</v>
      </c>
      <c r="M62" s="5">
        <v>4.55</v>
      </c>
      <c r="N62" s="5">
        <v>0</v>
      </c>
      <c r="O62" s="5">
        <v>56.14</v>
      </c>
      <c r="P62" s="5">
        <v>3.03</v>
      </c>
      <c r="Q62" s="5">
        <v>0</v>
      </c>
      <c r="R62" s="5">
        <v>66.349999999999994</v>
      </c>
      <c r="S62" s="10" t="str">
        <f>IF(COUNTIF([1]Country_Classifications!$B$2:$B$40, $B62)&gt;0, "Africa", "Others")</f>
        <v>Others</v>
      </c>
    </row>
    <row r="63" spans="1:19" ht="15.75" hidden="1" customHeight="1" x14ac:dyDescent="0.35">
      <c r="A63" s="2">
        <v>49</v>
      </c>
      <c r="B63" s="3" t="s">
        <v>120</v>
      </c>
      <c r="C63" s="4" t="s">
        <v>121</v>
      </c>
      <c r="D63" s="5">
        <v>15.4</v>
      </c>
      <c r="E63" s="5">
        <v>7.69</v>
      </c>
      <c r="F63" s="5">
        <v>56.97</v>
      </c>
      <c r="G63" s="5">
        <v>31.06</v>
      </c>
      <c r="H63" s="5">
        <v>0</v>
      </c>
      <c r="I63" s="5">
        <v>40.61</v>
      </c>
      <c r="J63" s="5">
        <v>66.790000000000006</v>
      </c>
      <c r="K63" s="5">
        <v>51.28</v>
      </c>
      <c r="L63" s="5">
        <v>55.67</v>
      </c>
      <c r="M63" s="5">
        <v>34.04</v>
      </c>
      <c r="N63" s="5">
        <v>4.4000000000000004</v>
      </c>
      <c r="O63" s="5">
        <v>60.55</v>
      </c>
      <c r="P63" s="5">
        <v>32.51</v>
      </c>
      <c r="Q63" s="5">
        <v>57.5</v>
      </c>
      <c r="R63" s="5">
        <v>60.6</v>
      </c>
      <c r="S63" s="10" t="str">
        <f>IF(COUNTIF([1]Country_Classifications!$B$2:$B$40, $B63)&gt;0, "Africa", "Others")</f>
        <v>Others</v>
      </c>
    </row>
    <row r="64" spans="1:19" ht="15.75" hidden="1" customHeight="1" x14ac:dyDescent="0.35">
      <c r="A64" s="2">
        <v>24</v>
      </c>
      <c r="B64" s="3" t="s">
        <v>66</v>
      </c>
      <c r="C64" s="4" t="s">
        <v>67</v>
      </c>
      <c r="D64" s="5">
        <v>51.64</v>
      </c>
      <c r="E64" s="5">
        <v>46.15</v>
      </c>
      <c r="F64" s="5">
        <v>87.82</v>
      </c>
      <c r="G64" s="5">
        <v>57.76</v>
      </c>
      <c r="H64" s="5">
        <v>30.77</v>
      </c>
      <c r="I64" s="5">
        <v>60.38</v>
      </c>
      <c r="J64" s="5">
        <v>38.01</v>
      </c>
      <c r="K64" s="5">
        <v>41.03</v>
      </c>
      <c r="L64" s="5">
        <v>83.41</v>
      </c>
      <c r="M64" s="5">
        <v>57.77</v>
      </c>
      <c r="N64" s="5">
        <v>35.159999999999997</v>
      </c>
      <c r="O64" s="5">
        <v>84.43</v>
      </c>
      <c r="P64" s="5">
        <v>38.119999999999997</v>
      </c>
      <c r="Q64" s="5">
        <v>85</v>
      </c>
      <c r="R64" s="5">
        <v>84.27</v>
      </c>
      <c r="S64" s="10" t="str">
        <f>IF(COUNTIF([1]Country_Classifications!$B$2:$B$40, $B64)&gt;0, "Africa", "Others")</f>
        <v>Others</v>
      </c>
    </row>
    <row r="65" spans="1:19" ht="15.75" hidden="1" customHeight="1" x14ac:dyDescent="0.35">
      <c r="A65" s="2">
        <v>70</v>
      </c>
      <c r="B65" s="3" t="s">
        <v>162</v>
      </c>
      <c r="C65" s="4" t="s">
        <v>163</v>
      </c>
      <c r="D65" s="5">
        <v>47.98</v>
      </c>
      <c r="E65" s="5">
        <v>15.38</v>
      </c>
      <c r="F65" s="5">
        <v>61.02</v>
      </c>
      <c r="G65" s="5">
        <v>11.36</v>
      </c>
      <c r="H65" s="5">
        <v>15.38</v>
      </c>
      <c r="I65" s="5">
        <v>29.56</v>
      </c>
      <c r="J65" s="5">
        <v>42.42</v>
      </c>
      <c r="K65" s="5">
        <v>20.51</v>
      </c>
      <c r="L65" s="5">
        <v>58.02</v>
      </c>
      <c r="M65" s="5">
        <v>11.13</v>
      </c>
      <c r="N65" s="5">
        <v>13.19</v>
      </c>
      <c r="O65" s="5">
        <v>71.09</v>
      </c>
      <c r="P65" s="5">
        <v>6.06</v>
      </c>
      <c r="Q65" s="5">
        <v>0</v>
      </c>
      <c r="R65" s="5">
        <v>59.95</v>
      </c>
      <c r="S65" s="10" t="str">
        <f>IF(COUNTIF([1]Country_Classifications!$B$2:$B$40, $B65)&gt;0, "Africa", "Others")</f>
        <v>Others</v>
      </c>
    </row>
    <row r="66" spans="1:19" ht="15.75" customHeight="1" x14ac:dyDescent="0.35">
      <c r="A66" s="2">
        <v>50</v>
      </c>
      <c r="B66" s="3" t="s">
        <v>122</v>
      </c>
      <c r="C66" s="4" t="s">
        <v>123</v>
      </c>
      <c r="D66" s="5">
        <v>21.21</v>
      </c>
      <c r="E66" s="5">
        <v>15.38</v>
      </c>
      <c r="F66" s="5">
        <v>28.72</v>
      </c>
      <c r="G66" s="5">
        <v>48.43</v>
      </c>
      <c r="H66" s="5">
        <v>38.46</v>
      </c>
      <c r="I66" s="5">
        <v>66.69</v>
      </c>
      <c r="J66" s="5">
        <v>44.7</v>
      </c>
      <c r="K66" s="5">
        <v>10.26</v>
      </c>
      <c r="L66" s="5">
        <v>46.81</v>
      </c>
      <c r="M66" s="5">
        <v>35.97</v>
      </c>
      <c r="N66" s="5">
        <v>4.4000000000000004</v>
      </c>
      <c r="O66" s="5">
        <v>60.87</v>
      </c>
      <c r="P66" s="5">
        <v>40.909999999999997</v>
      </c>
      <c r="Q66" s="5">
        <v>47.5</v>
      </c>
      <c r="R66" s="5">
        <v>62.15</v>
      </c>
      <c r="S66" s="10" t="str">
        <f>IF(COUNTIF([1]Country_Classifications!$B$2:$B$40, $B66)&gt;0, "Africa", "Others")</f>
        <v>Africa</v>
      </c>
    </row>
    <row r="67" spans="1:19" ht="15.75" hidden="1" customHeight="1" x14ac:dyDescent="0.35">
      <c r="A67" s="2">
        <v>31</v>
      </c>
      <c r="B67" s="3" t="s">
        <v>81</v>
      </c>
      <c r="C67" s="4" t="s">
        <v>82</v>
      </c>
      <c r="D67" s="5">
        <v>74.239999999999995</v>
      </c>
      <c r="E67" s="5">
        <v>23.08</v>
      </c>
      <c r="F67" s="5">
        <v>54.63</v>
      </c>
      <c r="G67" s="5">
        <v>73.48</v>
      </c>
      <c r="H67" s="5">
        <v>46.15</v>
      </c>
      <c r="I67" s="5">
        <v>59.66</v>
      </c>
      <c r="J67" s="5">
        <v>37.94</v>
      </c>
      <c r="K67" s="5">
        <v>30.77</v>
      </c>
      <c r="L67" s="5">
        <v>53.75</v>
      </c>
      <c r="M67" s="5">
        <v>63.21</v>
      </c>
      <c r="N67" s="5">
        <v>30.77</v>
      </c>
      <c r="O67" s="5">
        <v>68.42</v>
      </c>
      <c r="P67" s="5">
        <v>24.87</v>
      </c>
      <c r="Q67" s="5">
        <v>40</v>
      </c>
      <c r="R67" s="5">
        <v>55.66</v>
      </c>
      <c r="S67" s="10" t="str">
        <f>IF(COUNTIF([1]Country_Classifications!$B$2:$B$40, $B67)&gt;0, "Africa", "Others")</f>
        <v>Others</v>
      </c>
    </row>
    <row r="68" spans="1:19" ht="15.75" hidden="1" customHeight="1" x14ac:dyDescent="0.35">
      <c r="A68" s="2">
        <v>89</v>
      </c>
      <c r="B68" s="3" t="s">
        <v>200</v>
      </c>
      <c r="C68" s="4" t="s">
        <v>201</v>
      </c>
      <c r="D68" s="5">
        <v>25.76</v>
      </c>
      <c r="E68" s="5">
        <v>15.38</v>
      </c>
      <c r="F68" s="5">
        <v>35.58</v>
      </c>
      <c r="G68" s="5">
        <v>4.92</v>
      </c>
      <c r="H68" s="5">
        <v>38.46</v>
      </c>
      <c r="I68" s="5">
        <v>31.66</v>
      </c>
      <c r="J68" s="5">
        <v>28.54</v>
      </c>
      <c r="K68" s="5">
        <v>10.26</v>
      </c>
      <c r="L68" s="5">
        <v>33.619999999999997</v>
      </c>
      <c r="M68" s="5">
        <v>4.97</v>
      </c>
      <c r="N68" s="5">
        <v>0</v>
      </c>
      <c r="O68" s="5">
        <v>63.24</v>
      </c>
      <c r="P68" s="5">
        <v>13.38</v>
      </c>
      <c r="Q68" s="5">
        <v>78.75</v>
      </c>
      <c r="R68" s="5">
        <v>34.68</v>
      </c>
      <c r="S68" s="10" t="str">
        <f>IF(COUNTIF([1]Country_Classifications!$B$2:$B$40, $B68)&gt;0, "Africa", "Others")</f>
        <v>Others</v>
      </c>
    </row>
    <row r="69" spans="1:19" ht="15.75" hidden="1" customHeight="1" x14ac:dyDescent="0.35">
      <c r="A69" s="2">
        <v>37</v>
      </c>
      <c r="B69" s="3" t="s">
        <v>94</v>
      </c>
      <c r="C69" s="4" t="s">
        <v>95</v>
      </c>
      <c r="D69" s="5">
        <v>15.15</v>
      </c>
      <c r="E69" s="5">
        <v>15.38</v>
      </c>
      <c r="F69" s="5">
        <v>83.99</v>
      </c>
      <c r="G69" s="5">
        <v>52.61</v>
      </c>
      <c r="H69" s="5">
        <v>23.08</v>
      </c>
      <c r="I69" s="5">
        <v>59.93</v>
      </c>
      <c r="J69" s="5">
        <v>50.45</v>
      </c>
      <c r="K69" s="5">
        <v>20.51</v>
      </c>
      <c r="L69" s="5">
        <v>73.87</v>
      </c>
      <c r="M69" s="5">
        <v>67.5</v>
      </c>
      <c r="N69" s="5">
        <v>4.4000000000000004</v>
      </c>
      <c r="O69" s="5">
        <v>75.27</v>
      </c>
      <c r="P69" s="5">
        <v>26.52</v>
      </c>
      <c r="Q69" s="5">
        <v>0</v>
      </c>
      <c r="R69" s="5">
        <v>89.27</v>
      </c>
      <c r="S69" s="10" t="str">
        <f>IF(COUNTIF([1]Country_Classifications!$B$2:$B$40, $B69)&gt;0, "Africa", "Others")</f>
        <v>Others</v>
      </c>
    </row>
    <row r="70" spans="1:19" ht="15.75" hidden="1" customHeight="1" x14ac:dyDescent="0.35">
      <c r="A70" s="2">
        <v>90</v>
      </c>
      <c r="B70" s="3" t="s">
        <v>202</v>
      </c>
      <c r="C70" s="4" t="s">
        <v>203</v>
      </c>
      <c r="D70" s="5">
        <v>0</v>
      </c>
      <c r="E70" s="5">
        <v>23.08</v>
      </c>
      <c r="F70" s="5">
        <v>61.35</v>
      </c>
      <c r="G70" s="5">
        <v>16.670000000000002</v>
      </c>
      <c r="H70" s="5">
        <v>15.38</v>
      </c>
      <c r="I70" s="5">
        <v>30.44</v>
      </c>
      <c r="J70" s="5">
        <v>13.64</v>
      </c>
      <c r="K70" s="5">
        <v>20.51</v>
      </c>
      <c r="L70" s="5">
        <v>59.59</v>
      </c>
      <c r="M70" s="5">
        <v>22.06</v>
      </c>
      <c r="N70" s="5">
        <v>26.37</v>
      </c>
      <c r="O70" s="5">
        <v>75.81</v>
      </c>
      <c r="P70" s="5">
        <v>3.03</v>
      </c>
      <c r="Q70" s="5">
        <v>8.75</v>
      </c>
      <c r="R70" s="5">
        <v>47.77</v>
      </c>
      <c r="S70" s="10" t="str">
        <f>IF(COUNTIF([1]Country_Classifications!$B$2:$B$40, $B70)&gt;0, "Africa", "Others")</f>
        <v>Others</v>
      </c>
    </row>
    <row r="71" spans="1:19" ht="15.75" hidden="1" customHeight="1" x14ac:dyDescent="0.35">
      <c r="A71" s="2">
        <v>116</v>
      </c>
      <c r="B71" s="3" t="s">
        <v>254</v>
      </c>
      <c r="C71" s="4" t="s">
        <v>255</v>
      </c>
      <c r="D71" s="5">
        <v>0</v>
      </c>
      <c r="E71" s="5">
        <v>0</v>
      </c>
      <c r="F71" s="5">
        <v>44.54</v>
      </c>
      <c r="G71" s="5">
        <v>0</v>
      </c>
      <c r="H71" s="5">
        <v>0</v>
      </c>
      <c r="I71" s="5">
        <v>55.96</v>
      </c>
      <c r="J71" s="5">
        <v>3.03</v>
      </c>
      <c r="K71" s="5">
        <v>10.26</v>
      </c>
      <c r="L71" s="5">
        <v>43.64</v>
      </c>
      <c r="M71" s="5">
        <v>0</v>
      </c>
      <c r="N71" s="5">
        <v>0</v>
      </c>
      <c r="O71" s="5">
        <v>63.57</v>
      </c>
      <c r="P71" s="5">
        <v>0</v>
      </c>
      <c r="Q71" s="5">
        <v>0</v>
      </c>
      <c r="R71" s="5">
        <v>23.71</v>
      </c>
      <c r="S71" s="10" t="str">
        <f>IF(COUNTIF([1]Country_Classifications!$B$2:$B$40, $B71)&gt;0, "Africa", "Others")</f>
        <v>Others</v>
      </c>
    </row>
    <row r="72" spans="1:19" ht="15.75" hidden="1" customHeight="1" x14ac:dyDescent="0.35">
      <c r="A72" s="2">
        <v>115</v>
      </c>
      <c r="B72" s="3" t="s">
        <v>252</v>
      </c>
      <c r="C72" s="4" t="s">
        <v>253</v>
      </c>
      <c r="D72" s="5">
        <v>0</v>
      </c>
      <c r="E72" s="5">
        <v>0</v>
      </c>
      <c r="F72" s="5">
        <v>48.65</v>
      </c>
      <c r="G72" s="5">
        <v>0</v>
      </c>
      <c r="H72" s="5">
        <v>46.15</v>
      </c>
      <c r="I72" s="5">
        <v>35.39</v>
      </c>
      <c r="J72" s="5">
        <v>4.29</v>
      </c>
      <c r="K72" s="5">
        <v>10.26</v>
      </c>
      <c r="L72" s="5">
        <v>49.18</v>
      </c>
      <c r="M72" s="5">
        <v>0</v>
      </c>
      <c r="N72" s="5">
        <v>4.4000000000000004</v>
      </c>
      <c r="O72" s="5">
        <v>35.659999999999997</v>
      </c>
      <c r="P72" s="5">
        <v>0</v>
      </c>
      <c r="Q72" s="5">
        <v>0</v>
      </c>
      <c r="R72" s="5">
        <v>43.69</v>
      </c>
      <c r="S72" s="10" t="str">
        <f>IF(COUNTIF([1]Country_Classifications!$B$2:$B$40, $B72)&gt;0, "Africa", "Others")</f>
        <v>Others</v>
      </c>
    </row>
    <row r="73" spans="1:19" ht="15.75" customHeight="1" x14ac:dyDescent="0.35">
      <c r="A73" s="2">
        <v>122</v>
      </c>
      <c r="B73" s="3" t="s">
        <v>266</v>
      </c>
      <c r="C73" s="4" t="s">
        <v>267</v>
      </c>
      <c r="D73" s="5">
        <v>0</v>
      </c>
      <c r="E73" s="5">
        <v>0</v>
      </c>
      <c r="F73" s="5">
        <v>39</v>
      </c>
      <c r="G73" s="5">
        <v>0</v>
      </c>
      <c r="H73" s="5">
        <v>0</v>
      </c>
      <c r="I73" s="5">
        <v>43.29</v>
      </c>
      <c r="J73" s="5">
        <v>0</v>
      </c>
      <c r="K73" s="5">
        <v>0</v>
      </c>
      <c r="L73" s="5">
        <v>27.39</v>
      </c>
      <c r="M73" s="5">
        <v>0</v>
      </c>
      <c r="N73" s="5">
        <v>0</v>
      </c>
      <c r="O73" s="5">
        <v>55.07</v>
      </c>
      <c r="P73" s="5">
        <v>0</v>
      </c>
      <c r="Q73" s="5">
        <v>0</v>
      </c>
      <c r="R73" s="5">
        <v>52.06</v>
      </c>
      <c r="S73" s="10" t="str">
        <f>IF(COUNTIF([1]Country_Classifications!$B$2:$B$40, $B73)&gt;0, "Africa", "Others")</f>
        <v>Africa</v>
      </c>
    </row>
    <row r="74" spans="1:19" ht="15.75" customHeight="1" x14ac:dyDescent="0.35">
      <c r="A74" s="2">
        <v>78</v>
      </c>
      <c r="B74" s="3" t="s">
        <v>178</v>
      </c>
      <c r="C74" s="4" t="s">
        <v>179</v>
      </c>
      <c r="D74" s="5">
        <v>31.82</v>
      </c>
      <c r="E74" s="5">
        <v>0</v>
      </c>
      <c r="F74" s="5">
        <v>54.23</v>
      </c>
      <c r="G74" s="5">
        <v>39.39</v>
      </c>
      <c r="H74" s="5">
        <v>0</v>
      </c>
      <c r="I74" s="5">
        <v>6.12</v>
      </c>
      <c r="J74" s="5">
        <v>45.45</v>
      </c>
      <c r="K74" s="5">
        <v>10.26</v>
      </c>
      <c r="L74" s="5">
        <v>48.87</v>
      </c>
      <c r="M74" s="5">
        <v>20.79</v>
      </c>
      <c r="N74" s="5">
        <v>4.4000000000000004</v>
      </c>
      <c r="O74" s="5">
        <v>24.59</v>
      </c>
      <c r="P74" s="5">
        <v>22.47</v>
      </c>
      <c r="Q74" s="5">
        <v>0</v>
      </c>
      <c r="R74" s="5">
        <v>28.85</v>
      </c>
      <c r="S74" s="10" t="str">
        <f>IF(COUNTIF([1]Country_Classifications!$B$2:$B$40, $B74)&gt;0, "Africa", "Others")</f>
        <v>Africa</v>
      </c>
    </row>
    <row r="75" spans="1:19" ht="15.75" hidden="1" customHeight="1" x14ac:dyDescent="0.35">
      <c r="A75" s="2">
        <v>109</v>
      </c>
      <c r="B75" s="3" t="s">
        <v>240</v>
      </c>
      <c r="C75" s="4" t="s">
        <v>241</v>
      </c>
      <c r="D75" s="5">
        <v>0</v>
      </c>
      <c r="E75" s="5">
        <v>0</v>
      </c>
      <c r="F75" s="5">
        <v>71.819999999999993</v>
      </c>
      <c r="G75" s="5">
        <v>0</v>
      </c>
      <c r="H75" s="5">
        <v>0</v>
      </c>
      <c r="I75" s="5">
        <v>33.85</v>
      </c>
      <c r="J75" s="5">
        <v>0</v>
      </c>
      <c r="K75" s="5">
        <v>0</v>
      </c>
      <c r="L75" s="5">
        <v>61.76</v>
      </c>
      <c r="M75" s="5">
        <v>0</v>
      </c>
      <c r="N75" s="5">
        <v>0</v>
      </c>
      <c r="O75" s="5">
        <v>39.799999999999997</v>
      </c>
      <c r="P75" s="5">
        <v>3.03</v>
      </c>
      <c r="Q75" s="5">
        <v>0</v>
      </c>
      <c r="R75" s="5">
        <v>61.04</v>
      </c>
      <c r="S75" s="10" t="str">
        <f>IF(COUNTIF([1]Country_Classifications!$B$2:$B$40, $B75)&gt;0, "Africa", "Others")</f>
        <v>Others</v>
      </c>
    </row>
    <row r="76" spans="1:19" ht="15.75" hidden="1" customHeight="1" x14ac:dyDescent="0.35">
      <c r="A76" s="2">
        <v>72</v>
      </c>
      <c r="B76" s="3" t="s">
        <v>166</v>
      </c>
      <c r="C76" s="4" t="s">
        <v>167</v>
      </c>
      <c r="D76" s="5">
        <v>17.420000000000002</v>
      </c>
      <c r="E76" s="5">
        <v>7.69</v>
      </c>
      <c r="F76" s="5">
        <v>47.52</v>
      </c>
      <c r="G76" s="5">
        <v>25.38</v>
      </c>
      <c r="H76" s="5">
        <v>23.08</v>
      </c>
      <c r="I76" s="5">
        <v>51.06</v>
      </c>
      <c r="J76" s="5">
        <v>17.68</v>
      </c>
      <c r="K76" s="5">
        <v>51.28</v>
      </c>
      <c r="L76" s="5">
        <v>58.95</v>
      </c>
      <c r="M76" s="5">
        <v>38.97</v>
      </c>
      <c r="N76" s="5">
        <v>4.4000000000000004</v>
      </c>
      <c r="O76" s="5">
        <v>55.95</v>
      </c>
      <c r="P76" s="5">
        <v>10.98</v>
      </c>
      <c r="Q76" s="5">
        <v>30</v>
      </c>
      <c r="R76" s="5">
        <v>61.49</v>
      </c>
      <c r="S76" s="10" t="str">
        <f>IF(COUNTIF([1]Country_Classifications!$B$2:$B$40, $B76)&gt;0, "Africa", "Others")</f>
        <v>Others</v>
      </c>
    </row>
    <row r="77" spans="1:19" ht="15.75" customHeight="1" x14ac:dyDescent="0.35">
      <c r="A77" s="2">
        <v>94</v>
      </c>
      <c r="B77" s="3" t="s">
        <v>210</v>
      </c>
      <c r="C77" s="4" t="s">
        <v>211</v>
      </c>
      <c r="D77" s="5">
        <v>16.670000000000002</v>
      </c>
      <c r="E77" s="5">
        <v>0</v>
      </c>
      <c r="F77" s="5">
        <v>60.81</v>
      </c>
      <c r="G77" s="5">
        <v>14.2</v>
      </c>
      <c r="H77" s="5">
        <v>0</v>
      </c>
      <c r="I77" s="5">
        <v>71.650000000000006</v>
      </c>
      <c r="J77" s="5">
        <v>6.19</v>
      </c>
      <c r="K77" s="5">
        <v>0</v>
      </c>
      <c r="L77" s="5">
        <v>40.29</v>
      </c>
      <c r="M77" s="5">
        <v>8.6199999999999992</v>
      </c>
      <c r="N77" s="5">
        <v>0</v>
      </c>
      <c r="O77" s="5">
        <v>57.19</v>
      </c>
      <c r="P77" s="5">
        <v>4.04</v>
      </c>
      <c r="Q77" s="5">
        <v>8.75</v>
      </c>
      <c r="R77" s="5">
        <v>47.67</v>
      </c>
      <c r="S77" s="10" t="str">
        <f>IF(COUNTIF([1]Country_Classifications!$B$2:$B$40, $B77)&gt;0, "Africa", "Others")</f>
        <v>Africa</v>
      </c>
    </row>
    <row r="78" spans="1:19" ht="15.75" hidden="1" customHeight="1" x14ac:dyDescent="0.35">
      <c r="A78" s="2">
        <v>21</v>
      </c>
      <c r="B78" s="3" t="s">
        <v>59</v>
      </c>
      <c r="C78" s="4" t="s">
        <v>60</v>
      </c>
      <c r="D78" s="5">
        <v>64.069999999999993</v>
      </c>
      <c r="E78" s="5">
        <v>30.77</v>
      </c>
      <c r="F78" s="5">
        <v>87.71</v>
      </c>
      <c r="G78" s="5">
        <v>50.85</v>
      </c>
      <c r="H78" s="5">
        <v>0</v>
      </c>
      <c r="I78" s="5">
        <v>85.23</v>
      </c>
      <c r="J78" s="5">
        <v>59.81</v>
      </c>
      <c r="K78" s="5">
        <v>10.26</v>
      </c>
      <c r="L78" s="5">
        <v>80</v>
      </c>
      <c r="M78" s="5">
        <v>77.56</v>
      </c>
      <c r="N78" s="5">
        <v>8.7899999999999991</v>
      </c>
      <c r="O78" s="5">
        <v>93.15</v>
      </c>
      <c r="P78" s="5">
        <v>3.03</v>
      </c>
      <c r="Q78" s="5">
        <v>15</v>
      </c>
      <c r="R78" s="5">
        <v>83.22</v>
      </c>
      <c r="S78" s="10" t="str">
        <f>IF(COUNTIF([1]Country_Classifications!$B$2:$B$40, $B78)&gt;0, "Africa", "Others")</f>
        <v>Others</v>
      </c>
    </row>
    <row r="79" spans="1:19" ht="15.75" hidden="1" customHeight="1" x14ac:dyDescent="0.35">
      <c r="A79" s="2">
        <v>9</v>
      </c>
      <c r="B79" s="3" t="s">
        <v>34</v>
      </c>
      <c r="C79" s="4" t="s">
        <v>35</v>
      </c>
      <c r="D79" s="5">
        <v>76.44</v>
      </c>
      <c r="E79" s="5">
        <v>0</v>
      </c>
      <c r="F79" s="5">
        <v>89.14</v>
      </c>
      <c r="G79" s="5">
        <v>55.4</v>
      </c>
      <c r="H79" s="5">
        <v>7.69</v>
      </c>
      <c r="I79" s="5">
        <v>76.400000000000006</v>
      </c>
      <c r="J79" s="5">
        <v>77.42</v>
      </c>
      <c r="K79" s="5">
        <v>20.51</v>
      </c>
      <c r="L79" s="5">
        <v>82.05</v>
      </c>
      <c r="M79" s="5">
        <v>79.83</v>
      </c>
      <c r="N79" s="5">
        <v>4.4000000000000004</v>
      </c>
      <c r="O79" s="5">
        <v>86.42</v>
      </c>
      <c r="P79" s="5">
        <v>33.08</v>
      </c>
      <c r="Q79" s="5">
        <v>30</v>
      </c>
      <c r="R79" s="5">
        <v>87.17</v>
      </c>
      <c r="S79" s="10" t="str">
        <f>IF(COUNTIF([1]Country_Classifications!$B$2:$B$40, $B79)&gt;0, "Africa", "Others")</f>
        <v>Others</v>
      </c>
    </row>
    <row r="80" spans="1:19" ht="15.75" customHeight="1" x14ac:dyDescent="0.35">
      <c r="A80" s="2">
        <v>63</v>
      </c>
      <c r="B80" s="3" t="s">
        <v>148</v>
      </c>
      <c r="C80" s="4" t="s">
        <v>149</v>
      </c>
      <c r="D80" s="5">
        <v>15.15</v>
      </c>
      <c r="E80" s="5">
        <v>38.46</v>
      </c>
      <c r="F80" s="5">
        <v>47.4</v>
      </c>
      <c r="G80" s="5">
        <v>22.92</v>
      </c>
      <c r="H80" s="5">
        <v>53.85</v>
      </c>
      <c r="I80" s="5">
        <v>34.32</v>
      </c>
      <c r="J80" s="5">
        <v>47.47</v>
      </c>
      <c r="K80" s="5">
        <v>20.51</v>
      </c>
      <c r="L80" s="5">
        <v>52.26</v>
      </c>
      <c r="M80" s="5">
        <v>46.02</v>
      </c>
      <c r="N80" s="5">
        <v>0</v>
      </c>
      <c r="O80" s="5">
        <v>82.06</v>
      </c>
      <c r="P80" s="5">
        <v>15.4</v>
      </c>
      <c r="Q80" s="5">
        <v>0</v>
      </c>
      <c r="R80" s="5">
        <v>46.03</v>
      </c>
      <c r="S80" s="10" t="str">
        <f>IF(COUNTIF([1]Country_Classifications!$B$2:$B$40, $B80)&gt;0, "Africa", "Others")</f>
        <v>Africa</v>
      </c>
    </row>
    <row r="81" spans="1:19" ht="15.75" hidden="1" customHeight="1" x14ac:dyDescent="0.35">
      <c r="A81" s="2">
        <v>45</v>
      </c>
      <c r="B81" s="3" t="s">
        <v>112</v>
      </c>
      <c r="C81" s="4" t="s">
        <v>113</v>
      </c>
      <c r="D81" s="5">
        <v>19.190000000000001</v>
      </c>
      <c r="E81" s="5">
        <v>23.08</v>
      </c>
      <c r="F81" s="5">
        <v>70.25</v>
      </c>
      <c r="G81" s="5">
        <v>46.4</v>
      </c>
      <c r="H81" s="5">
        <v>0</v>
      </c>
      <c r="I81" s="5">
        <v>29.95</v>
      </c>
      <c r="J81" s="5">
        <v>60.86</v>
      </c>
      <c r="K81" s="5">
        <v>20.51</v>
      </c>
      <c r="L81" s="5">
        <v>57.2</v>
      </c>
      <c r="M81" s="5">
        <v>32.479999999999997</v>
      </c>
      <c r="N81" s="5">
        <v>8.7899999999999991</v>
      </c>
      <c r="O81" s="5">
        <v>77.28</v>
      </c>
      <c r="P81" s="5">
        <v>16.920000000000002</v>
      </c>
      <c r="Q81" s="5">
        <v>87.5</v>
      </c>
      <c r="R81" s="5">
        <v>67.62</v>
      </c>
      <c r="S81" s="10" t="str">
        <f>IF(COUNTIF([1]Country_Classifications!$B$2:$B$40, $B81)&gt;0, "Africa", "Others")</f>
        <v>Others</v>
      </c>
    </row>
    <row r="82" spans="1:19" ht="15.75" hidden="1" customHeight="1" x14ac:dyDescent="0.35">
      <c r="A82" s="2">
        <v>81</v>
      </c>
      <c r="B82" s="3" t="s">
        <v>184</v>
      </c>
      <c r="C82" s="4" t="s">
        <v>185</v>
      </c>
      <c r="D82" s="5">
        <v>27.27</v>
      </c>
      <c r="E82" s="5">
        <v>53.85</v>
      </c>
      <c r="F82" s="5">
        <v>67.099999999999994</v>
      </c>
      <c r="G82" s="5">
        <v>11.55</v>
      </c>
      <c r="H82" s="5">
        <v>30.77</v>
      </c>
      <c r="I82" s="5">
        <v>24.95</v>
      </c>
      <c r="J82" s="5">
        <v>20.96</v>
      </c>
      <c r="K82" s="5">
        <v>41.03</v>
      </c>
      <c r="L82" s="5">
        <v>54.73</v>
      </c>
      <c r="M82" s="5">
        <v>18.059999999999999</v>
      </c>
      <c r="N82" s="5">
        <v>21.98</v>
      </c>
      <c r="O82" s="5">
        <v>63.96</v>
      </c>
      <c r="P82" s="5">
        <v>0</v>
      </c>
      <c r="Q82" s="5">
        <v>0</v>
      </c>
      <c r="R82" s="5">
        <v>69.61</v>
      </c>
      <c r="S82" s="10" t="str">
        <f>IF(COUNTIF([1]Country_Classifications!$B$2:$B$40, $B82)&gt;0, "Africa", "Others")</f>
        <v>Others</v>
      </c>
    </row>
    <row r="83" spans="1:19" ht="15.75" hidden="1" customHeight="1" x14ac:dyDescent="0.35">
      <c r="A83" s="2">
        <v>58</v>
      </c>
      <c r="B83" s="3" t="s">
        <v>138</v>
      </c>
      <c r="C83" s="4" t="s">
        <v>139</v>
      </c>
      <c r="D83" s="5">
        <v>3.03</v>
      </c>
      <c r="E83" s="5">
        <v>30.77</v>
      </c>
      <c r="F83" s="5">
        <v>76.819999999999993</v>
      </c>
      <c r="G83" s="5">
        <v>14.77</v>
      </c>
      <c r="H83" s="5">
        <v>67.69</v>
      </c>
      <c r="I83" s="5">
        <v>43.56</v>
      </c>
      <c r="J83" s="5">
        <v>53.54</v>
      </c>
      <c r="K83" s="5">
        <v>82.05</v>
      </c>
      <c r="L83" s="5">
        <v>61.81</v>
      </c>
      <c r="M83" s="5">
        <v>16.760000000000002</v>
      </c>
      <c r="N83" s="5">
        <v>43.96</v>
      </c>
      <c r="O83" s="5">
        <v>78.099999999999994</v>
      </c>
      <c r="P83" s="5">
        <v>16.16</v>
      </c>
      <c r="Q83" s="5">
        <v>40</v>
      </c>
      <c r="R83" s="5">
        <v>62.62</v>
      </c>
      <c r="S83" s="10" t="str">
        <f>IF(COUNTIF([1]Country_Classifications!$B$2:$B$40, $B83)&gt;0, "Africa", "Others")</f>
        <v>Others</v>
      </c>
    </row>
    <row r="84" spans="1:19" ht="15.75" hidden="1" customHeight="1" x14ac:dyDescent="0.35">
      <c r="A84" s="2">
        <v>126</v>
      </c>
      <c r="B84" s="3" t="s">
        <v>274</v>
      </c>
      <c r="C84" s="4" t="s">
        <v>275</v>
      </c>
      <c r="D84" s="5">
        <v>0</v>
      </c>
      <c r="E84" s="5">
        <v>0</v>
      </c>
      <c r="F84" s="5">
        <v>30.5</v>
      </c>
      <c r="G84" s="5">
        <v>0</v>
      </c>
      <c r="H84" s="5">
        <v>0</v>
      </c>
      <c r="I84" s="5">
        <v>28.67</v>
      </c>
      <c r="J84" s="5">
        <v>6.06</v>
      </c>
      <c r="K84" s="5">
        <v>0</v>
      </c>
      <c r="L84" s="5">
        <v>46.28</v>
      </c>
      <c r="M84" s="5">
        <v>0</v>
      </c>
      <c r="N84" s="5">
        <v>17.579999999999998</v>
      </c>
      <c r="O84" s="5">
        <v>47.25</v>
      </c>
      <c r="P84" s="5">
        <v>3.03</v>
      </c>
      <c r="Q84" s="5">
        <v>0</v>
      </c>
      <c r="R84" s="5">
        <v>26.56</v>
      </c>
      <c r="S84" s="10" t="str">
        <f>IF(COUNTIF([1]Country_Classifications!$B$2:$B$40, $B84)&gt;0, "Africa", "Others")</f>
        <v>Others</v>
      </c>
    </row>
    <row r="85" spans="1:19" ht="15.75" hidden="1" customHeight="1" x14ac:dyDescent="0.35">
      <c r="A85" s="2">
        <v>82</v>
      </c>
      <c r="B85" s="3" t="s">
        <v>186</v>
      </c>
      <c r="C85" s="4" t="s">
        <v>187</v>
      </c>
      <c r="D85" s="5">
        <v>6.06</v>
      </c>
      <c r="E85" s="5">
        <v>7.69</v>
      </c>
      <c r="F85" s="5">
        <v>72.989999999999995</v>
      </c>
      <c r="G85" s="5">
        <v>6.82</v>
      </c>
      <c r="H85" s="5">
        <v>53.85</v>
      </c>
      <c r="I85" s="5">
        <v>58.47</v>
      </c>
      <c r="J85" s="5">
        <v>19.57</v>
      </c>
      <c r="K85" s="5">
        <v>20.51</v>
      </c>
      <c r="L85" s="5">
        <v>70.22</v>
      </c>
      <c r="M85" s="5">
        <v>4.55</v>
      </c>
      <c r="N85" s="5">
        <v>17.579999999999998</v>
      </c>
      <c r="O85" s="5">
        <v>80.56</v>
      </c>
      <c r="P85" s="5">
        <v>9.09</v>
      </c>
      <c r="Q85" s="5">
        <v>40</v>
      </c>
      <c r="R85" s="5">
        <v>59.08</v>
      </c>
      <c r="S85" s="10" t="str">
        <f>IF(COUNTIF([1]Country_Classifications!$B$2:$B$40, $B85)&gt;0, "Africa", "Others")</f>
        <v>Others</v>
      </c>
    </row>
    <row r="86" spans="1:19" ht="15.75" hidden="1" customHeight="1" x14ac:dyDescent="0.35">
      <c r="A86" s="2">
        <v>97</v>
      </c>
      <c r="B86" s="3" t="s">
        <v>216</v>
      </c>
      <c r="C86" s="4" t="s">
        <v>217</v>
      </c>
      <c r="D86" s="5">
        <v>3.03</v>
      </c>
      <c r="E86" s="5">
        <v>0</v>
      </c>
      <c r="F86" s="5">
        <v>57.83</v>
      </c>
      <c r="G86" s="5">
        <v>9.09</v>
      </c>
      <c r="H86" s="5">
        <v>0</v>
      </c>
      <c r="I86" s="5">
        <v>29.76</v>
      </c>
      <c r="J86" s="5">
        <v>6.06</v>
      </c>
      <c r="K86" s="5">
        <v>10.26</v>
      </c>
      <c r="L86" s="5">
        <v>59.96</v>
      </c>
      <c r="M86" s="5">
        <v>6.82</v>
      </c>
      <c r="N86" s="5">
        <v>0</v>
      </c>
      <c r="O86" s="5">
        <v>62.15</v>
      </c>
      <c r="P86" s="5">
        <v>9.09</v>
      </c>
      <c r="Q86" s="5">
        <v>0</v>
      </c>
      <c r="R86" s="5">
        <v>63.32</v>
      </c>
      <c r="S86" s="10" t="str">
        <f>IF(COUNTIF([1]Country_Classifications!$B$2:$B$40, $B86)&gt;0, "Africa", "Others")</f>
        <v>Others</v>
      </c>
    </row>
    <row r="87" spans="1:19" ht="15.75" customHeight="1" x14ac:dyDescent="0.35">
      <c r="A87" s="2">
        <v>120</v>
      </c>
      <c r="B87" s="3" t="s">
        <v>262</v>
      </c>
      <c r="C87" s="4" t="s">
        <v>263</v>
      </c>
      <c r="D87" s="5">
        <v>3.03</v>
      </c>
      <c r="E87" s="5">
        <v>7.69</v>
      </c>
      <c r="F87" s="5">
        <v>27.86</v>
      </c>
      <c r="G87" s="5">
        <v>0</v>
      </c>
      <c r="H87" s="5">
        <v>0</v>
      </c>
      <c r="I87" s="5">
        <v>53.87</v>
      </c>
      <c r="J87" s="5">
        <v>6.06</v>
      </c>
      <c r="K87" s="5">
        <v>0</v>
      </c>
      <c r="L87" s="5">
        <v>25.47</v>
      </c>
      <c r="M87" s="5">
        <v>6.82</v>
      </c>
      <c r="N87" s="5">
        <v>8.7899999999999991</v>
      </c>
      <c r="O87" s="5">
        <v>47.78</v>
      </c>
      <c r="P87" s="5">
        <v>0</v>
      </c>
      <c r="Q87" s="5">
        <v>0</v>
      </c>
      <c r="R87" s="5">
        <v>32.57</v>
      </c>
      <c r="S87" s="10" t="str">
        <f>IF(COUNTIF([1]Country_Classifications!$B$2:$B$40, $B87)&gt;0, "Africa", "Others")</f>
        <v>Africa</v>
      </c>
    </row>
    <row r="88" spans="1:19" ht="15.75" customHeight="1" x14ac:dyDescent="0.35">
      <c r="A88" s="2">
        <v>84</v>
      </c>
      <c r="B88" s="3" t="s">
        <v>190</v>
      </c>
      <c r="C88" s="4" t="s">
        <v>191</v>
      </c>
      <c r="D88" s="5">
        <v>0</v>
      </c>
      <c r="E88" s="5">
        <v>0</v>
      </c>
      <c r="F88" s="5">
        <v>66.22</v>
      </c>
      <c r="G88" s="5">
        <v>25</v>
      </c>
      <c r="H88" s="5">
        <v>0</v>
      </c>
      <c r="I88" s="5">
        <v>43.17</v>
      </c>
      <c r="J88" s="5">
        <v>27.27</v>
      </c>
      <c r="K88" s="5">
        <v>0</v>
      </c>
      <c r="L88" s="5">
        <v>62.12</v>
      </c>
      <c r="M88" s="5">
        <v>0</v>
      </c>
      <c r="N88" s="5">
        <v>0</v>
      </c>
      <c r="O88" s="5">
        <v>88.62</v>
      </c>
      <c r="P88" s="5">
        <v>0</v>
      </c>
      <c r="Q88" s="5">
        <v>0</v>
      </c>
      <c r="R88" s="5">
        <v>73.540000000000006</v>
      </c>
      <c r="S88" s="10" t="str">
        <f>IF(COUNTIF([1]Country_Classifications!$B$2:$B$40, $B88)&gt;0, "Africa", "Others")</f>
        <v>Africa</v>
      </c>
    </row>
    <row r="89" spans="1:19" ht="15.75" customHeight="1" x14ac:dyDescent="0.35">
      <c r="A89" s="2">
        <v>100</v>
      </c>
      <c r="B89" s="3" t="s">
        <v>222</v>
      </c>
      <c r="C89" s="4" t="s">
        <v>223</v>
      </c>
      <c r="D89" s="5">
        <v>0</v>
      </c>
      <c r="E89" s="5">
        <v>0</v>
      </c>
      <c r="F89" s="5">
        <v>23.32</v>
      </c>
      <c r="G89" s="5">
        <v>23.3</v>
      </c>
      <c r="H89" s="5">
        <v>0</v>
      </c>
      <c r="I89" s="5">
        <v>72.59</v>
      </c>
      <c r="J89" s="5">
        <v>3.03</v>
      </c>
      <c r="K89" s="5">
        <v>20.51</v>
      </c>
      <c r="L89" s="5">
        <v>36.15</v>
      </c>
      <c r="M89" s="5">
        <v>20.83</v>
      </c>
      <c r="N89" s="5">
        <v>0</v>
      </c>
      <c r="O89" s="5">
        <v>53.79</v>
      </c>
      <c r="P89" s="5">
        <v>0</v>
      </c>
      <c r="Q89" s="5">
        <v>0</v>
      </c>
      <c r="R89" s="5">
        <v>41.44</v>
      </c>
      <c r="S89" s="10" t="str">
        <f>IF(COUNTIF([1]Country_Classifications!$B$2:$B$40, $B89)&gt;0, "Africa", "Others")</f>
        <v>Africa</v>
      </c>
    </row>
    <row r="90" spans="1:19" ht="15.75" hidden="1" customHeight="1" x14ac:dyDescent="0.35">
      <c r="A90" s="2">
        <v>54</v>
      </c>
      <c r="B90" s="3" t="s">
        <v>130</v>
      </c>
      <c r="C90" s="4" t="s">
        <v>131</v>
      </c>
      <c r="D90" s="5">
        <v>20.2</v>
      </c>
      <c r="E90" s="5">
        <v>23.08</v>
      </c>
      <c r="F90" s="5">
        <v>65.08</v>
      </c>
      <c r="G90" s="5">
        <v>31.49</v>
      </c>
      <c r="H90" s="5">
        <v>0</v>
      </c>
      <c r="I90" s="5">
        <v>40.880000000000003</v>
      </c>
      <c r="J90" s="5">
        <v>48.86</v>
      </c>
      <c r="K90" s="5">
        <v>30.77</v>
      </c>
      <c r="L90" s="5">
        <v>60.31</v>
      </c>
      <c r="M90" s="5">
        <v>24.2</v>
      </c>
      <c r="N90" s="5">
        <v>8.7899999999999991</v>
      </c>
      <c r="O90" s="5">
        <v>90.91</v>
      </c>
      <c r="P90" s="5">
        <v>38.75</v>
      </c>
      <c r="Q90" s="5">
        <v>17.5</v>
      </c>
      <c r="R90" s="5">
        <v>58.17</v>
      </c>
      <c r="S90" s="10" t="str">
        <f>IF(COUNTIF([1]Country_Classifications!$B$2:$B$40, $B90)&gt;0, "Africa", "Others")</f>
        <v>Others</v>
      </c>
    </row>
    <row r="91" spans="1:19" ht="15.75" customHeight="1" x14ac:dyDescent="0.35">
      <c r="A91" s="2">
        <v>125</v>
      </c>
      <c r="B91" s="3" t="s">
        <v>272</v>
      </c>
      <c r="C91" s="4" t="s">
        <v>273</v>
      </c>
      <c r="D91" s="5">
        <v>0</v>
      </c>
      <c r="E91" s="5">
        <v>0</v>
      </c>
      <c r="F91" s="5">
        <v>43.93</v>
      </c>
      <c r="G91" s="5">
        <v>0</v>
      </c>
      <c r="H91" s="5">
        <v>0</v>
      </c>
      <c r="I91" s="5">
        <v>16.739999999999998</v>
      </c>
      <c r="J91" s="5">
        <v>0</v>
      </c>
      <c r="K91" s="5">
        <v>10.26</v>
      </c>
      <c r="L91" s="5">
        <v>27.26</v>
      </c>
      <c r="M91" s="5">
        <v>18.37</v>
      </c>
      <c r="N91" s="5">
        <v>4.4000000000000004</v>
      </c>
      <c r="O91" s="5">
        <v>43.9</v>
      </c>
      <c r="P91" s="5">
        <v>0</v>
      </c>
      <c r="Q91" s="5">
        <v>0</v>
      </c>
      <c r="R91" s="5">
        <v>26.74</v>
      </c>
      <c r="S91" s="10" t="str">
        <f>IF(COUNTIF([1]Country_Classifications!$B$2:$B$40, $B91)&gt;0, "Africa", "Others")</f>
        <v>Africa</v>
      </c>
    </row>
    <row r="92" spans="1:19" ht="15.75" customHeight="1" x14ac:dyDescent="0.35">
      <c r="A92" s="2">
        <v>38</v>
      </c>
      <c r="B92" s="3" t="s">
        <v>96</v>
      </c>
      <c r="C92" s="4" t="s">
        <v>97</v>
      </c>
      <c r="D92" s="5">
        <v>72.05</v>
      </c>
      <c r="E92" s="5">
        <v>0</v>
      </c>
      <c r="F92" s="5">
        <v>29.44</v>
      </c>
      <c r="G92" s="5">
        <v>66.69</v>
      </c>
      <c r="H92" s="5">
        <v>15.38</v>
      </c>
      <c r="I92" s="5">
        <v>26.92</v>
      </c>
      <c r="J92" s="5">
        <v>49.49</v>
      </c>
      <c r="K92" s="5">
        <v>20.51</v>
      </c>
      <c r="L92" s="5">
        <v>30.33</v>
      </c>
      <c r="M92" s="5">
        <v>67.650000000000006</v>
      </c>
      <c r="N92" s="5">
        <v>8.7899999999999991</v>
      </c>
      <c r="O92" s="5">
        <v>73.27</v>
      </c>
      <c r="P92" s="5">
        <v>0</v>
      </c>
      <c r="Q92" s="5">
        <v>90</v>
      </c>
      <c r="R92" s="5">
        <v>48.82</v>
      </c>
      <c r="S92" s="10" t="str">
        <f>IF(COUNTIF([1]Country_Classifications!$B$2:$B$40, $B92)&gt;0, "Africa", "Others")</f>
        <v>Africa</v>
      </c>
    </row>
    <row r="93" spans="1:19" ht="15.75" hidden="1" customHeight="1" x14ac:dyDescent="0.35">
      <c r="A93" s="2">
        <v>5</v>
      </c>
      <c r="B93" s="3" t="s">
        <v>26</v>
      </c>
      <c r="C93" s="4" t="s">
        <v>27</v>
      </c>
      <c r="D93" s="5">
        <v>83.38</v>
      </c>
      <c r="E93" s="5">
        <v>49.23</v>
      </c>
      <c r="F93" s="5">
        <v>88.82</v>
      </c>
      <c r="G93" s="5">
        <v>88.26</v>
      </c>
      <c r="H93" s="5">
        <v>53.85</v>
      </c>
      <c r="I93" s="5">
        <v>73.91</v>
      </c>
      <c r="J93" s="5">
        <v>66.31</v>
      </c>
      <c r="K93" s="5">
        <v>57.44</v>
      </c>
      <c r="L93" s="5">
        <v>89.08</v>
      </c>
      <c r="M93" s="5">
        <v>84.38</v>
      </c>
      <c r="N93" s="5">
        <v>43.96</v>
      </c>
      <c r="O93" s="5">
        <v>95.49</v>
      </c>
      <c r="P93" s="5">
        <v>60.16</v>
      </c>
      <c r="Q93" s="5">
        <v>85</v>
      </c>
      <c r="R93" s="5">
        <v>78.459999999999994</v>
      </c>
      <c r="S93" s="10" t="str">
        <f>IF(COUNTIF([1]Country_Classifications!$B$2:$B$40, $B93)&gt;0, "Africa", "Others")</f>
        <v>Others</v>
      </c>
    </row>
    <row r="94" spans="1:19" ht="15.75" hidden="1" customHeight="1" x14ac:dyDescent="0.35">
      <c r="A94" s="2">
        <v>1</v>
      </c>
      <c r="B94" s="3" t="s">
        <v>17</v>
      </c>
      <c r="C94" s="4" t="s">
        <v>18</v>
      </c>
      <c r="D94" s="5">
        <v>73.17</v>
      </c>
      <c r="E94" s="5">
        <v>38.46</v>
      </c>
      <c r="F94" s="5">
        <v>94.52</v>
      </c>
      <c r="G94" s="5">
        <v>72.92</v>
      </c>
      <c r="H94" s="5">
        <v>15.38</v>
      </c>
      <c r="I94" s="5">
        <v>99.3</v>
      </c>
      <c r="J94" s="5">
        <v>68.64</v>
      </c>
      <c r="K94" s="5">
        <v>51.28</v>
      </c>
      <c r="L94" s="5">
        <v>96.13</v>
      </c>
      <c r="M94" s="5">
        <v>75.28</v>
      </c>
      <c r="N94" s="5">
        <v>39.56</v>
      </c>
      <c r="O94" s="5">
        <v>88.73</v>
      </c>
      <c r="P94" s="5">
        <v>65.98</v>
      </c>
      <c r="Q94" s="5">
        <v>70</v>
      </c>
      <c r="R94" s="5">
        <v>92.03</v>
      </c>
      <c r="S94" s="10" t="str">
        <f>IF(COUNTIF([1]Country_Classifications!$B$2:$B$40, $B94)&gt;0, "Africa", "Others")</f>
        <v>Others</v>
      </c>
    </row>
    <row r="95" spans="1:19" ht="15.75" hidden="1" customHeight="1" x14ac:dyDescent="0.35">
      <c r="A95" s="2">
        <v>57</v>
      </c>
      <c r="B95" s="3" t="s">
        <v>136</v>
      </c>
      <c r="C95" s="4" t="s">
        <v>137</v>
      </c>
      <c r="D95" s="5">
        <v>39.14</v>
      </c>
      <c r="E95" s="5">
        <v>30.77</v>
      </c>
      <c r="F95" s="5">
        <v>47.62</v>
      </c>
      <c r="G95" s="5">
        <v>42.05</v>
      </c>
      <c r="H95" s="5">
        <v>46.15</v>
      </c>
      <c r="I95" s="5">
        <v>72.89</v>
      </c>
      <c r="J95" s="5">
        <v>39.9</v>
      </c>
      <c r="K95" s="5">
        <v>0</v>
      </c>
      <c r="L95" s="5">
        <v>43.59</v>
      </c>
      <c r="M95" s="5">
        <v>29.4</v>
      </c>
      <c r="N95" s="5">
        <v>35.159999999999997</v>
      </c>
      <c r="O95" s="5">
        <v>52.17</v>
      </c>
      <c r="P95" s="5">
        <v>22.6</v>
      </c>
      <c r="Q95" s="5">
        <v>0</v>
      </c>
      <c r="R95" s="5">
        <v>54.58</v>
      </c>
      <c r="S95" s="10" t="str">
        <f>IF(COUNTIF([1]Country_Classifications!$B$2:$B$40, $B95)&gt;0, "Africa", "Others")</f>
        <v>Others</v>
      </c>
    </row>
    <row r="96" spans="1:19" ht="15.75" hidden="1" customHeight="1" x14ac:dyDescent="0.35">
      <c r="A96" s="2">
        <v>39</v>
      </c>
      <c r="B96" s="3" t="s">
        <v>99</v>
      </c>
      <c r="C96" s="4" t="s">
        <v>100</v>
      </c>
      <c r="D96" s="5">
        <v>18.43</v>
      </c>
      <c r="E96" s="5">
        <v>30.77</v>
      </c>
      <c r="F96" s="5">
        <v>88.8</v>
      </c>
      <c r="G96" s="5">
        <v>36.17</v>
      </c>
      <c r="H96" s="5">
        <v>46.15</v>
      </c>
      <c r="I96" s="5">
        <v>89.6</v>
      </c>
      <c r="J96" s="5">
        <v>35.35</v>
      </c>
      <c r="K96" s="5">
        <v>30.77</v>
      </c>
      <c r="L96" s="5">
        <v>86.09</v>
      </c>
      <c r="M96" s="5">
        <v>26.8</v>
      </c>
      <c r="N96" s="5">
        <v>17.579999999999998</v>
      </c>
      <c r="O96" s="5">
        <v>69.930000000000007</v>
      </c>
      <c r="P96" s="5">
        <v>32.950000000000003</v>
      </c>
      <c r="Q96" s="5">
        <v>0</v>
      </c>
      <c r="R96" s="5">
        <v>87.97</v>
      </c>
      <c r="S96" s="10" t="str">
        <f>IF(COUNTIF([1]Country_Classifications!$B$2:$B$40, $B96)&gt;0, "Africa", "Others")</f>
        <v>Others</v>
      </c>
    </row>
    <row r="97" spans="1:19" ht="15.75" hidden="1" customHeight="1" x14ac:dyDescent="0.35">
      <c r="A97" s="2">
        <v>62</v>
      </c>
      <c r="B97" s="3" t="s">
        <v>146</v>
      </c>
      <c r="C97" s="4" t="s">
        <v>147</v>
      </c>
      <c r="D97" s="5">
        <v>60.86</v>
      </c>
      <c r="E97" s="5">
        <v>0</v>
      </c>
      <c r="F97" s="5">
        <v>27.86</v>
      </c>
      <c r="G97" s="5">
        <v>47.16</v>
      </c>
      <c r="H97" s="5">
        <v>0</v>
      </c>
      <c r="I97" s="5">
        <v>34.39</v>
      </c>
      <c r="J97" s="5">
        <v>0</v>
      </c>
      <c r="K97" s="5">
        <v>0</v>
      </c>
      <c r="L97" s="5">
        <v>54.68</v>
      </c>
      <c r="M97" s="5">
        <v>32.049999999999997</v>
      </c>
      <c r="N97" s="5">
        <v>0</v>
      </c>
      <c r="O97" s="5">
        <v>81.06</v>
      </c>
      <c r="P97" s="5">
        <v>33.33</v>
      </c>
      <c r="Q97" s="5">
        <v>32.5</v>
      </c>
      <c r="R97" s="5">
        <v>47.81</v>
      </c>
      <c r="S97" s="10" t="str">
        <f>IF(COUNTIF([1]Country_Classifications!$B$2:$B$40, $B97)&gt;0, "Africa", "Others")</f>
        <v>Others</v>
      </c>
    </row>
    <row r="98" spans="1:19" ht="15.75" hidden="1" customHeight="1" x14ac:dyDescent="0.35">
      <c r="A98" s="2">
        <v>51</v>
      </c>
      <c r="B98" s="3" t="s">
        <v>124</v>
      </c>
      <c r="C98" s="4" t="s">
        <v>125</v>
      </c>
      <c r="D98" s="5">
        <v>22.22</v>
      </c>
      <c r="E98" s="5">
        <v>15.38</v>
      </c>
      <c r="F98" s="5">
        <v>25.81</v>
      </c>
      <c r="G98" s="5">
        <v>32.58</v>
      </c>
      <c r="H98" s="5">
        <v>7.69</v>
      </c>
      <c r="I98" s="5">
        <v>39.44</v>
      </c>
      <c r="J98" s="5">
        <v>47.47</v>
      </c>
      <c r="K98" s="5">
        <v>30.77</v>
      </c>
      <c r="L98" s="5">
        <v>24.7</v>
      </c>
      <c r="M98" s="5">
        <v>64.87</v>
      </c>
      <c r="N98" s="5">
        <v>0</v>
      </c>
      <c r="O98" s="5">
        <v>74.09</v>
      </c>
      <c r="P98" s="5">
        <v>46.34</v>
      </c>
      <c r="Q98" s="5">
        <v>47.5</v>
      </c>
      <c r="R98" s="5">
        <v>51.03</v>
      </c>
      <c r="S98" s="10" t="str">
        <f>IF(COUNTIF([1]Country_Classifications!$B$2:$B$40, $B98)&gt;0, "Africa", "Others")</f>
        <v>Others</v>
      </c>
    </row>
    <row r="99" spans="1:19" ht="15.75" hidden="1" customHeight="1" x14ac:dyDescent="0.35">
      <c r="A99" s="2">
        <v>87</v>
      </c>
      <c r="B99" s="3" t="s">
        <v>196</v>
      </c>
      <c r="C99" s="4" t="s">
        <v>197</v>
      </c>
      <c r="D99" s="5">
        <v>6.31</v>
      </c>
      <c r="E99" s="5">
        <v>0</v>
      </c>
      <c r="F99" s="5">
        <v>71.290000000000006</v>
      </c>
      <c r="G99" s="5">
        <v>11.17</v>
      </c>
      <c r="H99" s="5">
        <v>15.38</v>
      </c>
      <c r="I99" s="5">
        <v>57.36</v>
      </c>
      <c r="J99" s="5">
        <v>9.34</v>
      </c>
      <c r="K99" s="5">
        <v>0</v>
      </c>
      <c r="L99" s="5">
        <v>65.94</v>
      </c>
      <c r="M99" s="5">
        <v>8.0500000000000007</v>
      </c>
      <c r="N99" s="5">
        <v>21.98</v>
      </c>
      <c r="O99" s="5">
        <v>69.37</v>
      </c>
      <c r="P99" s="5">
        <v>3.28</v>
      </c>
      <c r="Q99" s="5">
        <v>31.25</v>
      </c>
      <c r="R99" s="5">
        <v>62.75</v>
      </c>
      <c r="S99" s="10" t="str">
        <f>IF(COUNTIF([1]Country_Classifications!$B$2:$B$40, $B99)&gt;0, "Africa", "Others")</f>
        <v>Others</v>
      </c>
    </row>
    <row r="100" spans="1:19" ht="15.75" hidden="1" customHeight="1" x14ac:dyDescent="0.35">
      <c r="A100" s="2">
        <v>34</v>
      </c>
      <c r="B100" s="3" t="s">
        <v>87</v>
      </c>
      <c r="C100" s="4" t="s">
        <v>88</v>
      </c>
      <c r="D100" s="5">
        <v>41.14</v>
      </c>
      <c r="E100" s="5">
        <v>15.38</v>
      </c>
      <c r="F100" s="5">
        <v>59.93</v>
      </c>
      <c r="G100" s="5">
        <v>63.75</v>
      </c>
      <c r="H100" s="5">
        <v>38.46</v>
      </c>
      <c r="I100" s="5">
        <v>50.51</v>
      </c>
      <c r="J100" s="5">
        <v>63.18</v>
      </c>
      <c r="K100" s="5">
        <v>0</v>
      </c>
      <c r="L100" s="5">
        <v>59.17</v>
      </c>
      <c r="M100" s="5">
        <v>47.34</v>
      </c>
      <c r="N100" s="5">
        <v>8.7899999999999991</v>
      </c>
      <c r="O100" s="5">
        <v>75.69</v>
      </c>
      <c r="P100" s="5">
        <v>26.97</v>
      </c>
      <c r="Q100" s="5">
        <v>47.5</v>
      </c>
      <c r="R100" s="5">
        <v>67.53</v>
      </c>
      <c r="S100" s="10" t="str">
        <f>IF(COUNTIF([1]Country_Classifications!$B$2:$B$40, $B100)&gt;0, "Africa", "Others")</f>
        <v>Others</v>
      </c>
    </row>
    <row r="101" spans="1:19" ht="15.75" hidden="1" customHeight="1" x14ac:dyDescent="0.35">
      <c r="A101" s="2">
        <v>68</v>
      </c>
      <c r="B101" s="3" t="s">
        <v>158</v>
      </c>
      <c r="C101" s="4" t="s">
        <v>159</v>
      </c>
      <c r="D101" s="5">
        <v>26.01</v>
      </c>
      <c r="E101" s="5">
        <v>0</v>
      </c>
      <c r="F101" s="5">
        <v>46.01</v>
      </c>
      <c r="G101" s="5">
        <v>36.17</v>
      </c>
      <c r="H101" s="5">
        <v>30.77</v>
      </c>
      <c r="I101" s="5">
        <v>29.87</v>
      </c>
      <c r="J101" s="5">
        <v>23.48</v>
      </c>
      <c r="K101" s="5">
        <v>20.51</v>
      </c>
      <c r="L101" s="5">
        <v>48.5</v>
      </c>
      <c r="M101" s="5">
        <v>17.78</v>
      </c>
      <c r="N101" s="5">
        <v>8.7899999999999991</v>
      </c>
      <c r="O101" s="5">
        <v>86.14</v>
      </c>
      <c r="P101" s="5">
        <v>23.86</v>
      </c>
      <c r="Q101" s="5">
        <v>8.75</v>
      </c>
      <c r="R101" s="5">
        <v>61.52</v>
      </c>
      <c r="S101" s="10" t="str">
        <f>IF(COUNTIF([1]Country_Classifications!$B$2:$B$40, $B101)&gt;0, "Africa", "Others")</f>
        <v>Others</v>
      </c>
    </row>
    <row r="102" spans="1:19" ht="15.75" hidden="1" customHeight="1" x14ac:dyDescent="0.35">
      <c r="A102" s="2">
        <v>17</v>
      </c>
      <c r="B102" s="3" t="s">
        <v>51</v>
      </c>
      <c r="C102" s="4" t="s">
        <v>52</v>
      </c>
      <c r="D102" s="5">
        <v>69.91</v>
      </c>
      <c r="E102" s="5">
        <v>0</v>
      </c>
      <c r="F102" s="5">
        <v>84.55</v>
      </c>
      <c r="G102" s="5">
        <v>50.85</v>
      </c>
      <c r="H102" s="5">
        <v>15.38</v>
      </c>
      <c r="I102" s="5">
        <v>49.06</v>
      </c>
      <c r="J102" s="5">
        <v>66.97</v>
      </c>
      <c r="K102" s="5">
        <v>20.51</v>
      </c>
      <c r="L102" s="5">
        <v>72.33</v>
      </c>
      <c r="M102" s="5">
        <v>70.739999999999995</v>
      </c>
      <c r="N102" s="5">
        <v>35.159999999999997</v>
      </c>
      <c r="O102" s="5">
        <v>91.78</v>
      </c>
      <c r="P102" s="5">
        <v>31.5</v>
      </c>
      <c r="Q102" s="5">
        <v>85</v>
      </c>
      <c r="R102" s="5">
        <v>76.28</v>
      </c>
      <c r="S102" s="10" t="str">
        <f>IF(COUNTIF([1]Country_Classifications!$B$2:$B$40, $B102)&gt;0, "Africa", "Others")</f>
        <v>Others</v>
      </c>
    </row>
    <row r="103" spans="1:19" ht="15.75" hidden="1" customHeight="1" x14ac:dyDescent="0.35">
      <c r="A103" s="2">
        <v>18</v>
      </c>
      <c r="B103" s="3" t="s">
        <v>53</v>
      </c>
      <c r="C103" s="4" t="s">
        <v>54</v>
      </c>
      <c r="D103" s="5">
        <v>72.900000000000006</v>
      </c>
      <c r="E103" s="5">
        <v>38.46</v>
      </c>
      <c r="F103" s="5">
        <v>82.18</v>
      </c>
      <c r="G103" s="5">
        <v>53.12</v>
      </c>
      <c r="H103" s="5">
        <v>53.85</v>
      </c>
      <c r="I103" s="5">
        <v>82.04</v>
      </c>
      <c r="J103" s="5">
        <v>70.23</v>
      </c>
      <c r="K103" s="5">
        <v>20.51</v>
      </c>
      <c r="L103" s="5">
        <v>75.23</v>
      </c>
      <c r="M103" s="5">
        <v>73.010000000000005</v>
      </c>
      <c r="N103" s="5">
        <v>4.4000000000000004</v>
      </c>
      <c r="O103" s="5">
        <v>98.44</v>
      </c>
      <c r="P103" s="5">
        <v>17.93</v>
      </c>
      <c r="Q103" s="5">
        <v>40</v>
      </c>
      <c r="R103" s="5">
        <v>77.010000000000005</v>
      </c>
      <c r="S103" s="10" t="str">
        <f>IF(COUNTIF([1]Country_Classifications!$B$2:$B$40, $B103)&gt;0, "Africa", "Others")</f>
        <v>Others</v>
      </c>
    </row>
    <row r="104" spans="1:19" ht="15.75" hidden="1" customHeight="1" x14ac:dyDescent="0.35">
      <c r="A104" s="2">
        <v>85</v>
      </c>
      <c r="B104" s="3" t="s">
        <v>192</v>
      </c>
      <c r="C104" s="4" t="s">
        <v>193</v>
      </c>
      <c r="D104" s="5">
        <v>3.03</v>
      </c>
      <c r="E104" s="5">
        <v>7.69</v>
      </c>
      <c r="F104" s="5">
        <v>64.989999999999995</v>
      </c>
      <c r="G104" s="5">
        <v>16.48</v>
      </c>
      <c r="H104" s="5">
        <v>46.15</v>
      </c>
      <c r="I104" s="5">
        <v>69.52</v>
      </c>
      <c r="J104" s="5">
        <v>6.31</v>
      </c>
      <c r="K104" s="5">
        <v>20.51</v>
      </c>
      <c r="L104" s="5">
        <v>47.88</v>
      </c>
      <c r="M104" s="5">
        <v>12.69</v>
      </c>
      <c r="N104" s="5">
        <v>17.579999999999998</v>
      </c>
      <c r="O104" s="5">
        <v>73.680000000000007</v>
      </c>
      <c r="P104" s="5">
        <v>3.03</v>
      </c>
      <c r="Q104" s="5">
        <v>0</v>
      </c>
      <c r="R104" s="5">
        <v>65.900000000000006</v>
      </c>
      <c r="S104" s="10" t="str">
        <f>IF(COUNTIF([1]Country_Classifications!$B$2:$B$40, $B104)&gt;0, "Africa", "Others")</f>
        <v>Others</v>
      </c>
    </row>
    <row r="105" spans="1:19" ht="15.75" hidden="1" customHeight="1" x14ac:dyDescent="0.35">
      <c r="A105" s="2">
        <v>98</v>
      </c>
      <c r="B105" s="3" t="s">
        <v>218</v>
      </c>
      <c r="C105" s="4" t="s">
        <v>219</v>
      </c>
      <c r="D105" s="5">
        <v>22.35</v>
      </c>
      <c r="E105" s="5">
        <v>0</v>
      </c>
      <c r="F105" s="5">
        <v>51.02</v>
      </c>
      <c r="G105" s="5">
        <v>0</v>
      </c>
      <c r="H105" s="5">
        <v>0</v>
      </c>
      <c r="I105" s="5">
        <v>34.33</v>
      </c>
      <c r="J105" s="5">
        <v>18.940000000000001</v>
      </c>
      <c r="K105" s="5">
        <v>0</v>
      </c>
      <c r="L105" s="5">
        <v>52.42</v>
      </c>
      <c r="M105" s="5">
        <v>0</v>
      </c>
      <c r="N105" s="5">
        <v>0</v>
      </c>
      <c r="O105" s="5">
        <v>37.53</v>
      </c>
      <c r="P105" s="5">
        <v>19.32</v>
      </c>
      <c r="Q105" s="5">
        <v>2.5</v>
      </c>
      <c r="R105" s="5">
        <v>44.6</v>
      </c>
      <c r="S105" s="10" t="str">
        <f>IF(COUNTIF([1]Country_Classifications!$B$2:$B$40, $B105)&gt;0, "Africa", "Others")</f>
        <v>Others</v>
      </c>
    </row>
    <row r="106" spans="1:19" ht="15.75" hidden="1" customHeight="1" x14ac:dyDescent="0.35">
      <c r="A106" s="2">
        <v>52</v>
      </c>
      <c r="B106" s="3" t="s">
        <v>126</v>
      </c>
      <c r="C106" s="4" t="s">
        <v>127</v>
      </c>
      <c r="D106" s="5">
        <v>26.52</v>
      </c>
      <c r="E106" s="5">
        <v>0</v>
      </c>
      <c r="F106" s="5">
        <v>64.66</v>
      </c>
      <c r="G106" s="5">
        <v>46.02</v>
      </c>
      <c r="H106" s="5">
        <v>23.08</v>
      </c>
      <c r="I106" s="5">
        <v>35.65</v>
      </c>
      <c r="J106" s="5">
        <v>42.42</v>
      </c>
      <c r="K106" s="5">
        <v>0</v>
      </c>
      <c r="L106" s="5">
        <v>48.77</v>
      </c>
      <c r="M106" s="5">
        <v>43.28</v>
      </c>
      <c r="N106" s="5">
        <v>0</v>
      </c>
      <c r="O106" s="5">
        <v>82.22</v>
      </c>
      <c r="P106" s="5">
        <v>23.11</v>
      </c>
      <c r="Q106" s="5">
        <v>0</v>
      </c>
      <c r="R106" s="5">
        <v>46.32</v>
      </c>
      <c r="S106" s="10" t="str">
        <f>IF(COUNTIF([1]Country_Classifications!$B$2:$B$40, $B106)&gt;0, "Africa", "Others")</f>
        <v>Others</v>
      </c>
    </row>
    <row r="107" spans="1:19" ht="15.75" hidden="1" customHeight="1" x14ac:dyDescent="0.35">
      <c r="A107" s="2">
        <v>30</v>
      </c>
      <c r="B107" s="3" t="s">
        <v>79</v>
      </c>
      <c r="C107" s="4" t="s">
        <v>80</v>
      </c>
      <c r="D107" s="5">
        <v>44.87</v>
      </c>
      <c r="E107" s="5">
        <v>15.38</v>
      </c>
      <c r="F107" s="5">
        <v>66.040000000000006</v>
      </c>
      <c r="G107" s="5">
        <v>48.58</v>
      </c>
      <c r="H107" s="5">
        <v>15.38</v>
      </c>
      <c r="I107" s="5">
        <v>64.61</v>
      </c>
      <c r="J107" s="5">
        <v>57.1</v>
      </c>
      <c r="K107" s="5">
        <v>10.26</v>
      </c>
      <c r="L107" s="5">
        <v>76.11</v>
      </c>
      <c r="M107" s="5">
        <v>70.739999999999995</v>
      </c>
      <c r="N107" s="5">
        <v>13.19</v>
      </c>
      <c r="O107" s="5">
        <v>80.91</v>
      </c>
      <c r="P107" s="5">
        <v>21.72</v>
      </c>
      <c r="Q107" s="5">
        <v>15</v>
      </c>
      <c r="R107" s="5">
        <v>64.78</v>
      </c>
      <c r="S107" s="10" t="str">
        <f>IF(COUNTIF([1]Country_Classifications!$B$2:$B$40, $B107)&gt;0, "Africa", "Others")</f>
        <v>Others</v>
      </c>
    </row>
    <row r="108" spans="1:19" ht="15.75" customHeight="1" x14ac:dyDescent="0.35">
      <c r="A108" s="2">
        <v>66</v>
      </c>
      <c r="B108" s="3" t="s">
        <v>154</v>
      </c>
      <c r="C108" s="4" t="s">
        <v>155</v>
      </c>
      <c r="D108" s="5">
        <v>12.63</v>
      </c>
      <c r="E108" s="5">
        <v>0</v>
      </c>
      <c r="F108" s="5">
        <v>16.989999999999998</v>
      </c>
      <c r="G108" s="5">
        <v>29.92</v>
      </c>
      <c r="H108" s="5">
        <v>0</v>
      </c>
      <c r="I108" s="5">
        <v>52.53</v>
      </c>
      <c r="J108" s="5">
        <v>47.22</v>
      </c>
      <c r="K108" s="5">
        <v>0</v>
      </c>
      <c r="L108" s="5">
        <v>55.15</v>
      </c>
      <c r="M108" s="5">
        <v>9.52</v>
      </c>
      <c r="N108" s="5">
        <v>0</v>
      </c>
      <c r="O108" s="5">
        <v>83.5</v>
      </c>
      <c r="P108" s="5">
        <v>43.06</v>
      </c>
      <c r="Q108" s="5">
        <v>30</v>
      </c>
      <c r="R108" s="5">
        <v>56.42</v>
      </c>
      <c r="S108" s="10" t="str">
        <f>IF(COUNTIF([1]Country_Classifications!$B$2:$B$40, $B108)&gt;0, "Africa", "Others")</f>
        <v>Africa</v>
      </c>
    </row>
    <row r="109" spans="1:19" ht="15.75" hidden="1" customHeight="1" x14ac:dyDescent="0.35">
      <c r="A109" s="2">
        <v>67</v>
      </c>
      <c r="B109" s="3" t="s">
        <v>156</v>
      </c>
      <c r="C109" s="4" t="s">
        <v>157</v>
      </c>
      <c r="D109" s="5">
        <v>9.09</v>
      </c>
      <c r="E109" s="5">
        <v>0</v>
      </c>
      <c r="F109" s="5">
        <v>55.27</v>
      </c>
      <c r="G109" s="5">
        <v>49.05</v>
      </c>
      <c r="H109" s="5">
        <v>7.69</v>
      </c>
      <c r="I109" s="5">
        <v>30.15</v>
      </c>
      <c r="J109" s="5">
        <v>39.770000000000003</v>
      </c>
      <c r="K109" s="5">
        <v>0</v>
      </c>
      <c r="L109" s="5">
        <v>58.68</v>
      </c>
      <c r="M109" s="5">
        <v>39.58</v>
      </c>
      <c r="N109" s="5">
        <v>0</v>
      </c>
      <c r="O109" s="5">
        <v>83.39</v>
      </c>
      <c r="P109" s="5">
        <v>11.62</v>
      </c>
      <c r="Q109" s="5">
        <v>0</v>
      </c>
      <c r="R109" s="5">
        <v>50.89</v>
      </c>
      <c r="S109" s="10" t="str">
        <f>IF(COUNTIF([1]Country_Classifications!$B$2:$B$40, $B109)&gt;0, "Africa", "Others")</f>
        <v>Others</v>
      </c>
    </row>
    <row r="110" spans="1:19" ht="15.75" customHeight="1" x14ac:dyDescent="0.35">
      <c r="A110" s="2">
        <v>74</v>
      </c>
      <c r="B110" s="3" t="s">
        <v>170</v>
      </c>
      <c r="C110" s="4" t="s">
        <v>171</v>
      </c>
      <c r="D110" s="5">
        <v>3.03</v>
      </c>
      <c r="E110" s="5">
        <v>0</v>
      </c>
      <c r="F110" s="5">
        <v>46.77</v>
      </c>
      <c r="G110" s="5">
        <v>15.91</v>
      </c>
      <c r="H110" s="5">
        <v>0</v>
      </c>
      <c r="I110" s="5">
        <v>33.97</v>
      </c>
      <c r="J110" s="5">
        <v>49.49</v>
      </c>
      <c r="K110" s="5">
        <v>0</v>
      </c>
      <c r="L110" s="5">
        <v>45.28</v>
      </c>
      <c r="M110" s="5">
        <v>16.48</v>
      </c>
      <c r="N110" s="5">
        <v>0</v>
      </c>
      <c r="O110" s="5">
        <v>70.569999999999993</v>
      </c>
      <c r="P110" s="5">
        <v>45.96</v>
      </c>
      <c r="Q110" s="5">
        <v>30</v>
      </c>
      <c r="R110" s="5">
        <v>52.07</v>
      </c>
      <c r="S110" s="10" t="str">
        <f>IF(COUNTIF([1]Country_Classifications!$B$2:$B$40, $B110)&gt;0, "Africa", "Others")</f>
        <v>Africa</v>
      </c>
    </row>
    <row r="111" spans="1:19" ht="15.75" hidden="1" customHeight="1" x14ac:dyDescent="0.35">
      <c r="A111" s="2">
        <v>40</v>
      </c>
      <c r="B111" s="3" t="s">
        <v>101</v>
      </c>
      <c r="C111" s="4" t="s">
        <v>102</v>
      </c>
      <c r="D111" s="5">
        <v>56.69</v>
      </c>
      <c r="E111" s="5">
        <v>7.69</v>
      </c>
      <c r="F111" s="5">
        <v>80.92</v>
      </c>
      <c r="G111" s="5">
        <v>49.43</v>
      </c>
      <c r="H111" s="5">
        <v>0</v>
      </c>
      <c r="I111" s="5">
        <v>46.23</v>
      </c>
      <c r="J111" s="5">
        <v>22.47</v>
      </c>
      <c r="K111" s="5">
        <v>0</v>
      </c>
      <c r="L111" s="5">
        <v>85.8</v>
      </c>
      <c r="M111" s="5">
        <v>42.19</v>
      </c>
      <c r="N111" s="5">
        <v>8.7899999999999991</v>
      </c>
      <c r="O111" s="5">
        <v>96.63</v>
      </c>
      <c r="P111" s="5">
        <v>13.01</v>
      </c>
      <c r="Q111" s="5">
        <v>0</v>
      </c>
      <c r="R111" s="5">
        <v>70.83</v>
      </c>
      <c r="S111" s="10" t="str">
        <f>IF(COUNTIF([1]Country_Classifications!$B$2:$B$40, $B111)&gt;0, "Africa", "Others")</f>
        <v>Others</v>
      </c>
    </row>
    <row r="112" spans="1:19" ht="15.75" customHeight="1" x14ac:dyDescent="0.35">
      <c r="A112" s="2">
        <v>114</v>
      </c>
      <c r="B112" s="3" t="s">
        <v>250</v>
      </c>
      <c r="C112" s="4" t="s">
        <v>251</v>
      </c>
      <c r="D112" s="5">
        <v>0</v>
      </c>
      <c r="E112" s="5">
        <v>30.77</v>
      </c>
      <c r="F112" s="5">
        <v>34.85</v>
      </c>
      <c r="G112" s="5">
        <v>0</v>
      </c>
      <c r="H112" s="5">
        <v>0</v>
      </c>
      <c r="I112" s="5">
        <v>64.069999999999993</v>
      </c>
      <c r="J112" s="5">
        <v>3.03</v>
      </c>
      <c r="K112" s="5">
        <v>20.51</v>
      </c>
      <c r="L112" s="5">
        <v>21.42</v>
      </c>
      <c r="M112" s="5">
        <v>0</v>
      </c>
      <c r="N112" s="5">
        <v>0</v>
      </c>
      <c r="O112" s="5">
        <v>49.33</v>
      </c>
      <c r="P112" s="5">
        <v>3.03</v>
      </c>
      <c r="Q112" s="5">
        <v>0</v>
      </c>
      <c r="R112" s="5">
        <v>49.69</v>
      </c>
      <c r="S112" s="10" t="str">
        <f>IF(COUNTIF([1]Country_Classifications!$B$2:$B$40, $B112)&gt;0, "Africa", "Others")</f>
        <v>Africa</v>
      </c>
    </row>
    <row r="113" spans="1:19" ht="15.75" hidden="1" customHeight="1" x14ac:dyDescent="0.35">
      <c r="A113" s="2">
        <v>61</v>
      </c>
      <c r="B113" s="3" t="s">
        <v>144</v>
      </c>
      <c r="C113" s="4" t="s">
        <v>145</v>
      </c>
      <c r="D113" s="5">
        <v>24.24</v>
      </c>
      <c r="E113" s="5">
        <v>0</v>
      </c>
      <c r="F113" s="5">
        <v>48.76</v>
      </c>
      <c r="G113" s="5">
        <v>64.2</v>
      </c>
      <c r="H113" s="5">
        <v>23.08</v>
      </c>
      <c r="I113" s="5">
        <v>63.36</v>
      </c>
      <c r="J113" s="5">
        <v>27.53</v>
      </c>
      <c r="K113" s="5">
        <v>0</v>
      </c>
      <c r="L113" s="5">
        <v>46.72</v>
      </c>
      <c r="M113" s="5">
        <v>32.619999999999997</v>
      </c>
      <c r="N113" s="5">
        <v>0</v>
      </c>
      <c r="O113" s="5">
        <v>55.41</v>
      </c>
      <c r="P113" s="5">
        <v>18.940000000000001</v>
      </c>
      <c r="Q113" s="5">
        <v>0</v>
      </c>
      <c r="R113" s="5">
        <v>54.06</v>
      </c>
      <c r="S113" s="10" t="str">
        <f>IF(COUNTIF([1]Country_Classifications!$B$2:$B$40, $B113)&gt;0, "Africa", "Others")</f>
        <v>Others</v>
      </c>
    </row>
    <row r="114" spans="1:19" ht="15.75" customHeight="1" x14ac:dyDescent="0.35">
      <c r="A114" s="2">
        <v>124</v>
      </c>
      <c r="B114" s="3" t="s">
        <v>270</v>
      </c>
      <c r="C114" s="4" t="s">
        <v>271</v>
      </c>
      <c r="D114" s="5">
        <v>0</v>
      </c>
      <c r="E114" s="5">
        <v>0</v>
      </c>
      <c r="F114" s="5">
        <v>21.2</v>
      </c>
      <c r="G114" s="5">
        <v>14.32</v>
      </c>
      <c r="H114" s="5">
        <v>0</v>
      </c>
      <c r="I114" s="5">
        <v>10.47</v>
      </c>
      <c r="J114" s="5">
        <v>0</v>
      </c>
      <c r="K114" s="5">
        <v>0</v>
      </c>
      <c r="L114" s="5">
        <v>17.79</v>
      </c>
      <c r="M114" s="5">
        <v>33.69</v>
      </c>
      <c r="N114" s="5">
        <v>0</v>
      </c>
      <c r="O114" s="5">
        <v>29.02</v>
      </c>
      <c r="P114" s="5">
        <v>0</v>
      </c>
      <c r="Q114" s="5">
        <v>0</v>
      </c>
      <c r="R114" s="5">
        <v>26.26</v>
      </c>
      <c r="S114" s="10" t="str">
        <f>IF(COUNTIF([1]Country_Classifications!$B$2:$B$40, $B114)&gt;0, "Africa", "Others")</f>
        <v>Africa</v>
      </c>
    </row>
    <row r="115" spans="1:19" ht="15.75" hidden="1" customHeight="1" x14ac:dyDescent="0.35">
      <c r="A115" s="2">
        <v>33</v>
      </c>
      <c r="B115" s="3" t="s">
        <v>85</v>
      </c>
      <c r="C115" s="4" t="s">
        <v>86</v>
      </c>
      <c r="D115" s="5">
        <v>59.6</v>
      </c>
      <c r="E115" s="5">
        <v>0</v>
      </c>
      <c r="F115" s="5">
        <v>62.07</v>
      </c>
      <c r="G115" s="5">
        <v>57.2</v>
      </c>
      <c r="H115" s="5">
        <v>7.69</v>
      </c>
      <c r="I115" s="5">
        <v>40.159999999999997</v>
      </c>
      <c r="J115" s="5">
        <v>59.85</v>
      </c>
      <c r="K115" s="5">
        <v>10.26</v>
      </c>
      <c r="L115" s="5">
        <v>69.42</v>
      </c>
      <c r="M115" s="5">
        <v>28.03</v>
      </c>
      <c r="N115" s="5">
        <v>8.7899999999999991</v>
      </c>
      <c r="O115" s="5">
        <v>79.67</v>
      </c>
      <c r="P115" s="5">
        <v>46.72</v>
      </c>
      <c r="Q115" s="5">
        <v>30</v>
      </c>
      <c r="R115" s="5">
        <v>63.22</v>
      </c>
      <c r="S115" s="10" t="str">
        <f>IF(COUNTIF([1]Country_Classifications!$B$2:$B$40, $B115)&gt;0, "Africa", "Others")</f>
        <v>Others</v>
      </c>
    </row>
    <row r="116" spans="1:19" ht="15.75" customHeight="1" x14ac:dyDescent="0.35">
      <c r="A116" s="2">
        <v>135</v>
      </c>
      <c r="B116" s="3" t="s">
        <v>292</v>
      </c>
      <c r="C116" s="4" t="s">
        <v>293</v>
      </c>
      <c r="D116" s="5">
        <v>0</v>
      </c>
      <c r="E116" s="5">
        <v>0</v>
      </c>
      <c r="F116" s="5">
        <v>0.64</v>
      </c>
      <c r="G116" s="5">
        <v>0</v>
      </c>
      <c r="H116" s="5">
        <v>0</v>
      </c>
      <c r="I116" s="5">
        <v>3.7</v>
      </c>
      <c r="J116" s="5">
        <v>0</v>
      </c>
      <c r="K116" s="5">
        <v>10.26</v>
      </c>
      <c r="L116" s="5">
        <v>14.59</v>
      </c>
      <c r="M116" s="5">
        <v>0</v>
      </c>
      <c r="N116" s="5">
        <v>0</v>
      </c>
      <c r="O116" s="5">
        <v>16.89</v>
      </c>
      <c r="P116" s="5">
        <v>0</v>
      </c>
      <c r="Q116" s="5">
        <v>0</v>
      </c>
      <c r="R116" s="5">
        <v>28.04</v>
      </c>
      <c r="S116" s="10" t="str">
        <f>IF(COUNTIF([1]Country_Classifications!$B$2:$B$40, $B116)&gt;0, "Africa", "Others")</f>
        <v>Africa</v>
      </c>
    </row>
    <row r="117" spans="1:19" ht="15.75" hidden="1" customHeight="1" x14ac:dyDescent="0.35">
      <c r="A117" s="2">
        <v>32</v>
      </c>
      <c r="B117" s="3" t="s">
        <v>83</v>
      </c>
      <c r="C117" s="4" t="s">
        <v>84</v>
      </c>
      <c r="D117" s="5">
        <v>44.87</v>
      </c>
      <c r="E117" s="5">
        <v>7.69</v>
      </c>
      <c r="F117" s="5">
        <v>79.86</v>
      </c>
      <c r="G117" s="5">
        <v>48.58</v>
      </c>
      <c r="H117" s="5">
        <v>7.69</v>
      </c>
      <c r="I117" s="5">
        <v>76.19</v>
      </c>
      <c r="J117" s="5">
        <v>45.35</v>
      </c>
      <c r="K117" s="5">
        <v>0</v>
      </c>
      <c r="L117" s="5">
        <v>74.37</v>
      </c>
      <c r="M117" s="5">
        <v>68.47</v>
      </c>
      <c r="N117" s="5">
        <v>24.62</v>
      </c>
      <c r="O117" s="5">
        <v>88.05</v>
      </c>
      <c r="P117" s="5">
        <v>3.22</v>
      </c>
      <c r="Q117" s="5">
        <v>45</v>
      </c>
      <c r="R117" s="5">
        <v>69.78</v>
      </c>
      <c r="S117" s="10" t="str">
        <f>IF(COUNTIF([1]Country_Classifications!$B$2:$B$40, $B117)&gt;0, "Africa", "Others")</f>
        <v>Others</v>
      </c>
    </row>
    <row r="118" spans="1:19" ht="15.75" hidden="1" customHeight="1" x14ac:dyDescent="0.35">
      <c r="A118" s="2">
        <v>8</v>
      </c>
      <c r="B118" s="3" t="s">
        <v>32</v>
      </c>
      <c r="C118" s="4" t="s">
        <v>33</v>
      </c>
      <c r="D118" s="5">
        <v>72.650000000000006</v>
      </c>
      <c r="E118" s="5">
        <v>7.69</v>
      </c>
      <c r="F118" s="5">
        <v>78.11</v>
      </c>
      <c r="G118" s="5">
        <v>63.41</v>
      </c>
      <c r="H118" s="5">
        <v>46.15</v>
      </c>
      <c r="I118" s="5">
        <v>76.349999999999994</v>
      </c>
      <c r="J118" s="5">
        <v>72.12</v>
      </c>
      <c r="K118" s="5">
        <v>10.26</v>
      </c>
      <c r="L118" s="5">
        <v>78.760000000000005</v>
      </c>
      <c r="M118" s="5">
        <v>70.739999999999995</v>
      </c>
      <c r="N118" s="5">
        <v>26.37</v>
      </c>
      <c r="O118" s="5">
        <v>94.67</v>
      </c>
      <c r="P118" s="5">
        <v>39.200000000000003</v>
      </c>
      <c r="Q118" s="5">
        <v>90</v>
      </c>
      <c r="R118" s="5">
        <v>77.86</v>
      </c>
      <c r="S118" s="10" t="str">
        <f>IF(COUNTIF([1]Country_Classifications!$B$2:$B$40, $B118)&gt;0, "Africa", "Others")</f>
        <v>Others</v>
      </c>
    </row>
    <row r="119" spans="1:19" ht="15.75" customHeight="1" x14ac:dyDescent="0.35">
      <c r="A119" s="2">
        <v>133</v>
      </c>
      <c r="B119" s="3" t="s">
        <v>288</v>
      </c>
      <c r="C119" s="4" t="s">
        <v>289</v>
      </c>
      <c r="D119" s="5">
        <v>0</v>
      </c>
      <c r="E119" s="5">
        <v>0</v>
      </c>
      <c r="F119" s="5">
        <v>2.74</v>
      </c>
      <c r="G119" s="5">
        <v>0</v>
      </c>
      <c r="H119" s="5">
        <v>0</v>
      </c>
      <c r="I119" s="5">
        <v>11.86</v>
      </c>
      <c r="J119" s="5">
        <v>3.03</v>
      </c>
      <c r="K119" s="5">
        <v>0</v>
      </c>
      <c r="L119" s="5">
        <v>12.96</v>
      </c>
      <c r="M119" s="5">
        <v>0</v>
      </c>
      <c r="N119" s="5">
        <v>0</v>
      </c>
      <c r="O119" s="5">
        <v>57.65</v>
      </c>
      <c r="P119" s="5">
        <v>0</v>
      </c>
      <c r="Q119" s="5">
        <v>0</v>
      </c>
      <c r="R119" s="5">
        <v>17.27</v>
      </c>
      <c r="S119" s="10" t="str">
        <f>IF(COUNTIF([1]Country_Classifications!$B$2:$B$40, $B119)&gt;0, "Africa", "Others")</f>
        <v>Africa</v>
      </c>
    </row>
    <row r="120" spans="1:19" ht="15.75" customHeight="1" x14ac:dyDescent="0.35">
      <c r="A120" s="2">
        <v>117</v>
      </c>
      <c r="B120" s="3" t="s">
        <v>256</v>
      </c>
      <c r="C120" s="4" t="s">
        <v>257</v>
      </c>
      <c r="D120" s="5">
        <v>0</v>
      </c>
      <c r="E120" s="5">
        <v>7.69</v>
      </c>
      <c r="F120" s="5">
        <v>30.73</v>
      </c>
      <c r="G120" s="5">
        <v>0</v>
      </c>
      <c r="H120" s="5">
        <v>15.38</v>
      </c>
      <c r="I120" s="5">
        <v>33.71</v>
      </c>
      <c r="J120" s="5">
        <v>9.09</v>
      </c>
      <c r="K120" s="5">
        <v>0</v>
      </c>
      <c r="L120" s="5">
        <v>41.08</v>
      </c>
      <c r="M120" s="5">
        <v>0</v>
      </c>
      <c r="N120" s="5">
        <v>0</v>
      </c>
      <c r="O120" s="5">
        <v>64.03</v>
      </c>
      <c r="P120" s="5">
        <v>0</v>
      </c>
      <c r="Q120" s="5">
        <v>0</v>
      </c>
      <c r="R120" s="5">
        <v>44.49</v>
      </c>
      <c r="S120" s="10" t="str">
        <f>IF(COUNTIF([1]Country_Classifications!$B$2:$B$40, $B120)&gt;0, "Africa", "Others")</f>
        <v>Africa</v>
      </c>
    </row>
    <row r="121" spans="1:19" ht="15.75" hidden="1" customHeight="1" x14ac:dyDescent="0.35">
      <c r="A121" s="2">
        <v>60</v>
      </c>
      <c r="B121" s="3" t="s">
        <v>142</v>
      </c>
      <c r="C121" s="4" t="s">
        <v>143</v>
      </c>
      <c r="D121" s="5">
        <v>3.03</v>
      </c>
      <c r="E121" s="5">
        <v>30.77</v>
      </c>
      <c r="F121" s="5">
        <v>56.5</v>
      </c>
      <c r="G121" s="5">
        <v>38.64</v>
      </c>
      <c r="H121" s="5">
        <v>7.69</v>
      </c>
      <c r="I121" s="5">
        <v>31.37</v>
      </c>
      <c r="J121" s="5">
        <v>50</v>
      </c>
      <c r="K121" s="5">
        <v>20.51</v>
      </c>
      <c r="L121" s="5">
        <v>58.72</v>
      </c>
      <c r="M121" s="5">
        <v>19.649999999999999</v>
      </c>
      <c r="N121" s="5">
        <v>8.7899999999999991</v>
      </c>
      <c r="O121" s="5">
        <v>81.08</v>
      </c>
      <c r="P121" s="5">
        <v>36.549999999999997</v>
      </c>
      <c r="Q121" s="5">
        <v>30</v>
      </c>
      <c r="R121" s="5">
        <v>60.43</v>
      </c>
      <c r="S121" s="10" t="str">
        <f>IF(COUNTIF([1]Country_Classifications!$B$2:$B$40, $B121)&gt;0, "Africa", "Others")</f>
        <v>Others</v>
      </c>
    </row>
    <row r="122" spans="1:19" ht="15.75" hidden="1" customHeight="1" x14ac:dyDescent="0.35">
      <c r="A122" s="2">
        <v>104</v>
      </c>
      <c r="B122" s="3" t="s">
        <v>230</v>
      </c>
      <c r="C122" s="4" t="s">
        <v>231</v>
      </c>
      <c r="D122" s="5">
        <v>0</v>
      </c>
      <c r="E122" s="5">
        <v>7.69</v>
      </c>
      <c r="F122" s="5">
        <v>13.23</v>
      </c>
      <c r="G122" s="5">
        <v>14.77</v>
      </c>
      <c r="H122" s="5">
        <v>0</v>
      </c>
      <c r="I122" s="5">
        <v>59.59</v>
      </c>
      <c r="J122" s="5">
        <v>13.38</v>
      </c>
      <c r="K122" s="5">
        <v>10.26</v>
      </c>
      <c r="L122" s="5">
        <v>49.01</v>
      </c>
      <c r="M122" s="5">
        <v>14.77</v>
      </c>
      <c r="N122" s="5">
        <v>0</v>
      </c>
      <c r="O122" s="5">
        <v>49.84</v>
      </c>
      <c r="P122" s="5">
        <v>9.85</v>
      </c>
      <c r="Q122" s="5">
        <v>15</v>
      </c>
      <c r="R122" s="5">
        <v>18.77</v>
      </c>
      <c r="S122" s="10" t="str">
        <f>IF(COUNTIF([1]Country_Classifications!$B$2:$B$40, $B122)&gt;0, "Africa", "Others")</f>
        <v>Others</v>
      </c>
    </row>
    <row r="123" spans="1:19" ht="15.75" hidden="1" customHeight="1" x14ac:dyDescent="0.35">
      <c r="A123" s="2">
        <v>127</v>
      </c>
      <c r="B123" s="3" t="s">
        <v>276</v>
      </c>
      <c r="C123" s="4" t="s">
        <v>277</v>
      </c>
      <c r="D123" s="5">
        <v>0</v>
      </c>
      <c r="E123" s="5">
        <v>15.38</v>
      </c>
      <c r="F123" s="5">
        <v>56.31</v>
      </c>
      <c r="G123" s="5">
        <v>0</v>
      </c>
      <c r="H123" s="5">
        <v>0</v>
      </c>
      <c r="I123" s="5">
        <v>9.5500000000000007</v>
      </c>
      <c r="J123" s="5">
        <v>3.03</v>
      </c>
      <c r="K123" s="5">
        <v>0</v>
      </c>
      <c r="L123" s="5">
        <v>55.48</v>
      </c>
      <c r="M123" s="5">
        <v>0</v>
      </c>
      <c r="N123" s="5">
        <v>0</v>
      </c>
      <c r="O123" s="5">
        <v>31.61</v>
      </c>
      <c r="P123" s="5">
        <v>3.03</v>
      </c>
      <c r="Q123" s="5">
        <v>0</v>
      </c>
      <c r="R123" s="5">
        <v>18.350000000000001</v>
      </c>
      <c r="S123" s="10" t="str">
        <f>IF(COUNTIF([1]Country_Classifications!$B$2:$B$40, $B123)&gt;0, "Africa", "Others")</f>
        <v>Others</v>
      </c>
    </row>
    <row r="124" spans="1:19" ht="15.75" hidden="1" customHeight="1" x14ac:dyDescent="0.35">
      <c r="A124" s="2">
        <v>86</v>
      </c>
      <c r="B124" s="3" t="s">
        <v>194</v>
      </c>
      <c r="C124" s="4" t="s">
        <v>195</v>
      </c>
      <c r="D124" s="5">
        <v>0</v>
      </c>
      <c r="E124" s="5">
        <v>23.08</v>
      </c>
      <c r="F124" s="5">
        <v>77.540000000000006</v>
      </c>
      <c r="G124" s="5">
        <v>22.82</v>
      </c>
      <c r="H124" s="5">
        <v>0</v>
      </c>
      <c r="I124" s="5">
        <v>22.12</v>
      </c>
      <c r="J124" s="5">
        <v>26.14</v>
      </c>
      <c r="K124" s="5">
        <v>0</v>
      </c>
      <c r="L124" s="5">
        <v>61.52</v>
      </c>
      <c r="M124" s="5">
        <v>10.23</v>
      </c>
      <c r="N124" s="5">
        <v>4.4000000000000004</v>
      </c>
      <c r="O124" s="5">
        <v>62.57</v>
      </c>
      <c r="P124" s="5">
        <v>6.06</v>
      </c>
      <c r="Q124" s="5">
        <v>40</v>
      </c>
      <c r="R124" s="5">
        <v>58.95</v>
      </c>
      <c r="S124" s="10" t="str">
        <f>IF(COUNTIF([1]Country_Classifications!$B$2:$B$40, $B124)&gt;0, "Africa", "Others")</f>
        <v>Others</v>
      </c>
    </row>
    <row r="125" spans="1:19" ht="15.75" customHeight="1" x14ac:dyDescent="0.35">
      <c r="A125" s="2">
        <v>110</v>
      </c>
      <c r="B125" s="3" t="s">
        <v>242</v>
      </c>
      <c r="C125" s="4" t="s">
        <v>243</v>
      </c>
      <c r="D125" s="5">
        <v>0</v>
      </c>
      <c r="E125" s="5">
        <v>30.77</v>
      </c>
      <c r="F125" s="5">
        <v>53.81</v>
      </c>
      <c r="G125" s="5">
        <v>0</v>
      </c>
      <c r="H125" s="5">
        <v>23.08</v>
      </c>
      <c r="I125" s="5">
        <v>24.35</v>
      </c>
      <c r="J125" s="5">
        <v>0</v>
      </c>
      <c r="K125" s="5">
        <v>0</v>
      </c>
      <c r="L125" s="5">
        <v>44.87</v>
      </c>
      <c r="M125" s="5">
        <v>0</v>
      </c>
      <c r="N125" s="5">
        <v>26.37</v>
      </c>
      <c r="O125" s="5">
        <v>69.599999999999994</v>
      </c>
      <c r="P125" s="5">
        <v>0</v>
      </c>
      <c r="Q125" s="5">
        <v>0</v>
      </c>
      <c r="R125" s="5">
        <v>53.45</v>
      </c>
      <c r="S125" s="10" t="str">
        <f>IF(COUNTIF([1]Country_Classifications!$B$2:$B$40, $B125)&gt;0, "Africa", "Others")</f>
        <v>Africa</v>
      </c>
    </row>
    <row r="126" spans="1:19" ht="15.75" customHeight="1" x14ac:dyDescent="0.35">
      <c r="A126" s="2">
        <v>93</v>
      </c>
      <c r="B126" s="3" t="s">
        <v>208</v>
      </c>
      <c r="C126" s="4" t="s">
        <v>209</v>
      </c>
      <c r="D126" s="5">
        <v>29.29</v>
      </c>
      <c r="E126" s="5">
        <v>15.38</v>
      </c>
      <c r="F126" s="5">
        <v>32.630000000000003</v>
      </c>
      <c r="G126" s="5">
        <v>9.66</v>
      </c>
      <c r="H126" s="5">
        <v>30.77</v>
      </c>
      <c r="I126" s="5">
        <v>36.75</v>
      </c>
      <c r="J126" s="5">
        <v>6.82</v>
      </c>
      <c r="K126" s="5">
        <v>10.26</v>
      </c>
      <c r="L126" s="5">
        <v>43.33</v>
      </c>
      <c r="M126" s="5">
        <v>8.57</v>
      </c>
      <c r="N126" s="5">
        <v>4.4000000000000004</v>
      </c>
      <c r="O126" s="5">
        <v>79.040000000000006</v>
      </c>
      <c r="P126" s="5">
        <v>3.03</v>
      </c>
      <c r="Q126" s="5">
        <v>0</v>
      </c>
      <c r="R126" s="5">
        <v>55.93</v>
      </c>
      <c r="S126" s="10" t="str">
        <f>IF(COUNTIF([1]Country_Classifications!$B$2:$B$40, $B126)&gt;0, "Africa", "Others")</f>
        <v>Africa</v>
      </c>
    </row>
    <row r="127" spans="1:19" ht="15.75" customHeight="1" x14ac:dyDescent="0.35">
      <c r="A127" s="2">
        <v>107</v>
      </c>
      <c r="B127" s="3" t="s">
        <v>236</v>
      </c>
      <c r="C127" s="4" t="s">
        <v>237</v>
      </c>
      <c r="D127" s="5">
        <v>0</v>
      </c>
      <c r="E127" s="5">
        <v>7.69</v>
      </c>
      <c r="F127" s="5">
        <v>11.96</v>
      </c>
      <c r="G127" s="5">
        <v>13.98</v>
      </c>
      <c r="H127" s="5">
        <v>0</v>
      </c>
      <c r="I127" s="5">
        <v>66.19</v>
      </c>
      <c r="J127" s="5">
        <v>0</v>
      </c>
      <c r="K127" s="5">
        <v>0</v>
      </c>
      <c r="L127" s="5">
        <v>30.5</v>
      </c>
      <c r="M127" s="5">
        <v>14.15</v>
      </c>
      <c r="N127" s="5">
        <v>13.19</v>
      </c>
      <c r="O127" s="5">
        <v>78.06</v>
      </c>
      <c r="P127" s="5">
        <v>0</v>
      </c>
      <c r="Q127" s="5">
        <v>0</v>
      </c>
      <c r="R127" s="5">
        <v>45.31</v>
      </c>
      <c r="S127" s="10" t="str">
        <f>IF(COUNTIF([1]Country_Classifications!$B$2:$B$40, $B127)&gt;0, "Africa", "Others")</f>
        <v>Africa</v>
      </c>
    </row>
    <row r="128" spans="1:19" ht="15.75" hidden="1" customHeight="1" x14ac:dyDescent="0.35">
      <c r="A128" s="2">
        <v>44</v>
      </c>
      <c r="B128" s="3" t="s">
        <v>110</v>
      </c>
      <c r="C128" s="4" t="s">
        <v>111</v>
      </c>
      <c r="D128" s="5">
        <v>26.26</v>
      </c>
      <c r="E128" s="5">
        <v>43.08</v>
      </c>
      <c r="F128" s="5">
        <v>61.51</v>
      </c>
      <c r="G128" s="5">
        <v>32.46</v>
      </c>
      <c r="H128" s="5">
        <v>67.69</v>
      </c>
      <c r="I128" s="5">
        <v>54.83</v>
      </c>
      <c r="J128" s="5">
        <v>47.22</v>
      </c>
      <c r="K128" s="5">
        <v>51.28</v>
      </c>
      <c r="L128" s="5">
        <v>65.44</v>
      </c>
      <c r="M128" s="5">
        <v>49.94</v>
      </c>
      <c r="N128" s="5">
        <v>96.7</v>
      </c>
      <c r="O128" s="5">
        <v>63.04</v>
      </c>
      <c r="P128" s="5">
        <v>9.34</v>
      </c>
      <c r="Q128" s="5">
        <v>75</v>
      </c>
      <c r="R128" s="5">
        <v>69.14</v>
      </c>
      <c r="S128" s="10" t="str">
        <f>IF(COUNTIF([1]Country_Classifications!$B$2:$B$40, $B128)&gt;0, "Africa", "Others")</f>
        <v>Others</v>
      </c>
    </row>
    <row r="129" spans="1:19" ht="15.75" hidden="1" customHeight="1" x14ac:dyDescent="0.35">
      <c r="A129" s="2">
        <v>22</v>
      </c>
      <c r="B129" s="3" t="s">
        <v>61</v>
      </c>
      <c r="C129" s="4" t="s">
        <v>62</v>
      </c>
      <c r="D129" s="5">
        <v>42.68</v>
      </c>
      <c r="E129" s="5">
        <v>0</v>
      </c>
      <c r="F129" s="5">
        <v>83.32</v>
      </c>
      <c r="G129" s="5">
        <v>52.65</v>
      </c>
      <c r="H129" s="5">
        <v>38.46</v>
      </c>
      <c r="I129" s="5">
        <v>87.42</v>
      </c>
      <c r="J129" s="5">
        <v>37.119999999999997</v>
      </c>
      <c r="K129" s="5">
        <v>20.51</v>
      </c>
      <c r="L129" s="5">
        <v>85.4</v>
      </c>
      <c r="M129" s="5">
        <v>65.63</v>
      </c>
      <c r="N129" s="5">
        <v>13.19</v>
      </c>
      <c r="O129" s="5">
        <v>78.72</v>
      </c>
      <c r="P129" s="5">
        <v>69.819999999999993</v>
      </c>
      <c r="Q129" s="5">
        <v>30</v>
      </c>
      <c r="R129" s="5">
        <v>84.65</v>
      </c>
      <c r="S129" s="10" t="str">
        <f>IF(COUNTIF([1]Country_Classifications!$B$2:$B$40, $B129)&gt;0, "Africa", "Others")</f>
        <v>Others</v>
      </c>
    </row>
    <row r="130" spans="1:19" ht="15.75" hidden="1" customHeight="1" x14ac:dyDescent="0.35">
      <c r="A130" s="2">
        <v>27</v>
      </c>
      <c r="B130" s="3" t="s">
        <v>73</v>
      </c>
      <c r="C130" s="4" t="s">
        <v>74</v>
      </c>
      <c r="D130" s="5">
        <v>45.71</v>
      </c>
      <c r="E130" s="5">
        <v>46.15</v>
      </c>
      <c r="F130" s="5">
        <v>80.73</v>
      </c>
      <c r="G130" s="5">
        <v>36.520000000000003</v>
      </c>
      <c r="H130" s="5">
        <v>61.54</v>
      </c>
      <c r="I130" s="5">
        <v>59.05</v>
      </c>
      <c r="J130" s="5">
        <v>64.02</v>
      </c>
      <c r="K130" s="5">
        <v>41.03</v>
      </c>
      <c r="L130" s="5">
        <v>69.64</v>
      </c>
      <c r="M130" s="5">
        <v>48.42</v>
      </c>
      <c r="N130" s="5">
        <v>61.54</v>
      </c>
      <c r="O130" s="5">
        <v>80.02</v>
      </c>
      <c r="P130" s="5">
        <v>60.76</v>
      </c>
      <c r="Q130" s="5">
        <v>30</v>
      </c>
      <c r="R130" s="5">
        <v>75.52</v>
      </c>
      <c r="S130" s="10" t="str">
        <f>IF(COUNTIF([1]Country_Classifications!$B$2:$B$40, $B130)&gt;0, "Africa", "Others")</f>
        <v>Others</v>
      </c>
    </row>
    <row r="131" spans="1:19" ht="15.75" hidden="1" customHeight="1" x14ac:dyDescent="0.35">
      <c r="A131" s="2">
        <v>83</v>
      </c>
      <c r="B131" s="3" t="s">
        <v>188</v>
      </c>
      <c r="C131" s="4" t="s">
        <v>189</v>
      </c>
      <c r="D131" s="5">
        <v>25.76</v>
      </c>
      <c r="E131" s="5">
        <v>7.69</v>
      </c>
      <c r="F131" s="5">
        <v>35.880000000000003</v>
      </c>
      <c r="G131" s="5">
        <v>11.36</v>
      </c>
      <c r="H131" s="5">
        <v>23.08</v>
      </c>
      <c r="I131" s="5">
        <v>26.62</v>
      </c>
      <c r="J131" s="5">
        <v>36.24</v>
      </c>
      <c r="K131" s="5">
        <v>0</v>
      </c>
      <c r="L131" s="5">
        <v>51.34</v>
      </c>
      <c r="M131" s="5">
        <v>6.82</v>
      </c>
      <c r="N131" s="5">
        <v>0</v>
      </c>
      <c r="O131" s="5">
        <v>72.58</v>
      </c>
      <c r="P131" s="5">
        <v>20.58</v>
      </c>
      <c r="Q131" s="5">
        <v>0</v>
      </c>
      <c r="R131" s="5">
        <v>48.8</v>
      </c>
      <c r="S131" s="10" t="str">
        <f>IF(COUNTIF([1]Country_Classifications!$B$2:$B$40, $B131)&gt;0, "Africa", "Others")</f>
        <v>Others</v>
      </c>
    </row>
    <row r="132" spans="1:19" ht="15.75" hidden="1" customHeight="1" x14ac:dyDescent="0.35">
      <c r="A132" s="2">
        <v>47</v>
      </c>
      <c r="B132" s="3" t="s">
        <v>116</v>
      </c>
      <c r="C132" s="4" t="s">
        <v>117</v>
      </c>
      <c r="D132" s="5">
        <v>28.01</v>
      </c>
      <c r="E132" s="5">
        <v>30.77</v>
      </c>
      <c r="F132" s="5">
        <v>47</v>
      </c>
      <c r="G132" s="5">
        <v>20.68</v>
      </c>
      <c r="H132" s="5">
        <v>53.85</v>
      </c>
      <c r="I132" s="5">
        <v>43.9</v>
      </c>
      <c r="J132" s="5">
        <v>50.88</v>
      </c>
      <c r="K132" s="5">
        <v>30.77</v>
      </c>
      <c r="L132" s="5">
        <v>62.41</v>
      </c>
      <c r="M132" s="5">
        <v>22.06</v>
      </c>
      <c r="N132" s="5">
        <v>35.159999999999997</v>
      </c>
      <c r="O132" s="5">
        <v>83.43</v>
      </c>
      <c r="P132" s="5">
        <v>51.26</v>
      </c>
      <c r="Q132" s="5">
        <v>40</v>
      </c>
      <c r="R132" s="5">
        <v>46.67</v>
      </c>
      <c r="S132" s="10" t="str">
        <f>IF(COUNTIF([1]Country_Classifications!$B$2:$B$40, $B132)&gt;0, "Africa", "Others")</f>
        <v>Others</v>
      </c>
    </row>
    <row r="133" spans="1:19" ht="15.75" hidden="1" customHeight="1" x14ac:dyDescent="0.35">
      <c r="A133" s="2">
        <v>103</v>
      </c>
      <c r="B133" s="3" t="s">
        <v>228</v>
      </c>
      <c r="C133" s="4" t="s">
        <v>229</v>
      </c>
      <c r="D133" s="5">
        <v>0</v>
      </c>
      <c r="E133" s="5">
        <v>15.38</v>
      </c>
      <c r="F133" s="5">
        <v>70.900000000000006</v>
      </c>
      <c r="G133" s="5">
        <v>0</v>
      </c>
      <c r="H133" s="5">
        <v>0</v>
      </c>
      <c r="I133" s="5">
        <v>30.51</v>
      </c>
      <c r="J133" s="5">
        <v>0</v>
      </c>
      <c r="K133" s="5">
        <v>0</v>
      </c>
      <c r="L133" s="5">
        <v>53.86</v>
      </c>
      <c r="M133" s="5">
        <v>0</v>
      </c>
      <c r="N133" s="5">
        <v>0</v>
      </c>
      <c r="O133" s="5">
        <v>84.33</v>
      </c>
      <c r="P133" s="5">
        <v>0</v>
      </c>
      <c r="Q133" s="5">
        <v>0</v>
      </c>
      <c r="R133" s="5">
        <v>65.11</v>
      </c>
      <c r="S133" s="10" t="str">
        <f>IF(COUNTIF([1]Country_Classifications!$B$2:$B$40, $B133)&gt;0, "Africa", "Others")</f>
        <v>Others</v>
      </c>
    </row>
    <row r="134" spans="1:19" ht="15.75" customHeight="1" x14ac:dyDescent="0.35">
      <c r="A134" s="2">
        <v>77</v>
      </c>
      <c r="B134" s="3" t="s">
        <v>176</v>
      </c>
      <c r="C134" s="4" t="s">
        <v>177</v>
      </c>
      <c r="D134" s="5">
        <v>6.57</v>
      </c>
      <c r="E134" s="5">
        <v>69.23</v>
      </c>
      <c r="F134" s="5">
        <v>65.25</v>
      </c>
      <c r="G134" s="5">
        <v>8.33</v>
      </c>
      <c r="H134" s="5">
        <v>46.15</v>
      </c>
      <c r="I134" s="5">
        <v>34.590000000000003</v>
      </c>
      <c r="J134" s="5">
        <v>9.85</v>
      </c>
      <c r="K134" s="5">
        <v>51.28</v>
      </c>
      <c r="L134" s="5">
        <v>69.459999999999994</v>
      </c>
      <c r="M134" s="5">
        <v>22.98</v>
      </c>
      <c r="N134" s="5">
        <v>21.98</v>
      </c>
      <c r="O134" s="5">
        <v>80.489999999999995</v>
      </c>
      <c r="P134" s="5">
        <v>6.31</v>
      </c>
      <c r="Q134" s="5">
        <v>30</v>
      </c>
      <c r="R134" s="5">
        <v>63.84</v>
      </c>
      <c r="S134" s="10" t="str">
        <f>IF(COUNTIF([1]Country_Classifications!$B$2:$B$40, $B134)&gt;0, "Africa", "Others")</f>
        <v>Africa</v>
      </c>
    </row>
    <row r="135" spans="1:19" ht="15.75" customHeight="1" x14ac:dyDescent="0.35">
      <c r="A135" s="2">
        <v>79</v>
      </c>
      <c r="B135" s="3" t="s">
        <v>180</v>
      </c>
      <c r="C135" s="4" t="s">
        <v>181</v>
      </c>
      <c r="D135" s="5">
        <v>0</v>
      </c>
      <c r="E135" s="5">
        <v>15.38</v>
      </c>
      <c r="F135" s="5">
        <v>33.090000000000003</v>
      </c>
      <c r="G135" s="5">
        <v>34.28</v>
      </c>
      <c r="H135" s="5">
        <v>0</v>
      </c>
      <c r="I135" s="5">
        <v>63.52</v>
      </c>
      <c r="J135" s="5">
        <v>45.96</v>
      </c>
      <c r="K135" s="5">
        <v>20.51</v>
      </c>
      <c r="L135" s="5">
        <v>35.409999999999997</v>
      </c>
      <c r="M135" s="5">
        <v>16.29</v>
      </c>
      <c r="N135" s="5">
        <v>13.19</v>
      </c>
      <c r="O135" s="5">
        <v>71.2</v>
      </c>
      <c r="P135" s="5">
        <v>3.03</v>
      </c>
      <c r="Q135" s="5">
        <v>37.5</v>
      </c>
      <c r="R135" s="5">
        <v>54.07</v>
      </c>
      <c r="S135" s="10" t="str">
        <f>IF(COUNTIF([1]Country_Classifications!$B$2:$B$40, $B135)&gt;0, "Africa", "Others")</f>
        <v>Africa</v>
      </c>
    </row>
    <row r="136" spans="1:19" ht="15.75" customHeight="1" x14ac:dyDescent="0.35">
      <c r="A136" s="2">
        <v>113</v>
      </c>
      <c r="B136" s="3" t="s">
        <v>248</v>
      </c>
      <c r="C136" s="4" t="s">
        <v>249</v>
      </c>
      <c r="D136" s="5">
        <v>3.03</v>
      </c>
      <c r="E136" s="5">
        <v>0</v>
      </c>
      <c r="F136" s="5">
        <v>44.59</v>
      </c>
      <c r="G136" s="5">
        <v>0</v>
      </c>
      <c r="H136" s="5">
        <v>46.15</v>
      </c>
      <c r="I136" s="5">
        <v>40.53</v>
      </c>
      <c r="J136" s="5">
        <v>3.03</v>
      </c>
      <c r="K136" s="5">
        <v>0</v>
      </c>
      <c r="L136" s="5">
        <v>42.6</v>
      </c>
      <c r="M136" s="5">
        <v>0</v>
      </c>
      <c r="N136" s="5">
        <v>30.77</v>
      </c>
      <c r="O136" s="5">
        <v>44.73</v>
      </c>
      <c r="P136" s="5">
        <v>0</v>
      </c>
      <c r="Q136" s="5">
        <v>0</v>
      </c>
      <c r="R136" s="5">
        <v>42.78</v>
      </c>
      <c r="S136" s="10" t="str">
        <f>IF(COUNTIF([1]Country_Classifications!$B$2:$B$40, $B136)&gt;0, "Africa", "Others")</f>
        <v>Africa</v>
      </c>
    </row>
    <row r="137" spans="1:19" ht="15.75" customHeight="1" x14ac:dyDescent="0.35">
      <c r="A137" s="2"/>
      <c r="B137" s="3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9" ht="15.75" customHeight="1" x14ac:dyDescent="0.35">
      <c r="A138" s="2"/>
      <c r="B138" s="3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9" ht="15.75" customHeight="1" x14ac:dyDescent="0.35">
      <c r="A139" s="2"/>
      <c r="B139" s="3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9" ht="15.75" customHeight="1" x14ac:dyDescent="0.35">
      <c r="A140" s="2"/>
      <c r="B140" s="3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9" ht="15.75" customHeight="1" x14ac:dyDescent="0.35">
      <c r="A141" s="2"/>
      <c r="B141" s="3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9" ht="15.75" customHeight="1" x14ac:dyDescent="0.35">
      <c r="A142" s="2"/>
      <c r="B142" s="3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9" ht="15.75" customHeight="1" x14ac:dyDescent="0.35">
      <c r="A143" s="2"/>
      <c r="B143" s="3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9" ht="15.75" customHeight="1" x14ac:dyDescent="0.35">
      <c r="A144" s="2"/>
      <c r="B144" s="3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5.75" customHeight="1" x14ac:dyDescent="0.35">
      <c r="A145" s="2"/>
      <c r="B145" s="3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5.75" customHeight="1" x14ac:dyDescent="0.35">
      <c r="A146" s="2"/>
      <c r="B146" s="3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5.75" customHeight="1" x14ac:dyDescent="0.35">
      <c r="A147" s="2"/>
      <c r="B147" s="3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5.75" customHeight="1" x14ac:dyDescent="0.35">
      <c r="A148" s="2"/>
      <c r="B148" s="3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5.75" customHeight="1" x14ac:dyDescent="0.35">
      <c r="A149" s="2"/>
      <c r="B149" s="3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5.75" customHeight="1" x14ac:dyDescent="0.35">
      <c r="A150" s="2"/>
      <c r="B150" s="3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5.75" customHeight="1" x14ac:dyDescent="0.35">
      <c r="A151" s="2"/>
      <c r="B151" s="3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5.75" customHeight="1" x14ac:dyDescent="0.35">
      <c r="A152" s="2"/>
      <c r="B152" s="3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5.75" customHeight="1" x14ac:dyDescent="0.35">
      <c r="A153" s="2"/>
      <c r="B153" s="3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5.75" customHeight="1" x14ac:dyDescent="0.35">
      <c r="A154" s="2"/>
      <c r="B154" s="3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5.75" customHeight="1" x14ac:dyDescent="0.35">
      <c r="A155" s="2"/>
      <c r="B155" s="3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5.75" customHeight="1" x14ac:dyDescent="0.35">
      <c r="A156" s="2"/>
      <c r="B156" s="3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5.75" customHeight="1" x14ac:dyDescent="0.35">
      <c r="A157" s="2"/>
      <c r="B157" s="3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5.75" customHeight="1" x14ac:dyDescent="0.35">
      <c r="A158" s="2"/>
      <c r="B158" s="3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5.75" customHeight="1" x14ac:dyDescent="0.35">
      <c r="A159" s="2"/>
      <c r="B159" s="3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5.75" customHeight="1" x14ac:dyDescent="0.35">
      <c r="A160" s="2"/>
      <c r="B160" s="3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5.75" customHeight="1" x14ac:dyDescent="0.35">
      <c r="A161" s="2"/>
      <c r="B161" s="3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5.75" customHeight="1" x14ac:dyDescent="0.35">
      <c r="A162" s="2"/>
      <c r="B162" s="3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5.75" customHeight="1" x14ac:dyDescent="0.35">
      <c r="A163" s="2"/>
      <c r="B163" s="3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5.75" customHeight="1" x14ac:dyDescent="0.35">
      <c r="A164" s="2"/>
      <c r="B164" s="3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5.75" customHeight="1" x14ac:dyDescent="0.35">
      <c r="A165" s="2"/>
      <c r="B165" s="3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5.75" customHeight="1" x14ac:dyDescent="0.35">
      <c r="A166" s="2"/>
      <c r="B166" s="3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5.75" customHeight="1" x14ac:dyDescent="0.35">
      <c r="A167" s="2"/>
      <c r="B167" s="3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5.75" customHeight="1" x14ac:dyDescent="0.35">
      <c r="A168" s="2"/>
      <c r="B168" s="3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5.75" customHeight="1" x14ac:dyDescent="0.35">
      <c r="A169" s="2"/>
      <c r="B169" s="3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5.75" customHeight="1" x14ac:dyDescent="0.35">
      <c r="A170" s="2"/>
      <c r="B170" s="3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5.75" customHeight="1" x14ac:dyDescent="0.35">
      <c r="A171" s="2"/>
      <c r="B171" s="3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5.75" customHeight="1" x14ac:dyDescent="0.35">
      <c r="A172" s="2"/>
      <c r="B172" s="3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5.75" customHeight="1" x14ac:dyDescent="0.35">
      <c r="A173" s="2"/>
      <c r="B173" s="3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5.75" customHeight="1" x14ac:dyDescent="0.35">
      <c r="A174" s="2"/>
      <c r="B174" s="3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5.75" customHeight="1" x14ac:dyDescent="0.35">
      <c r="A175" s="2"/>
      <c r="B175" s="3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5.75" customHeight="1" x14ac:dyDescent="0.35">
      <c r="A176" s="2"/>
      <c r="B176" s="3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5.75" customHeight="1" x14ac:dyDescent="0.35">
      <c r="A177" s="2"/>
      <c r="B177" s="3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5.75" customHeight="1" x14ac:dyDescent="0.35">
      <c r="A178" s="2"/>
      <c r="B178" s="3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5.75" customHeight="1" x14ac:dyDescent="0.35">
      <c r="A179" s="2"/>
      <c r="B179" s="3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5.75" customHeight="1" x14ac:dyDescent="0.35">
      <c r="A180" s="2"/>
      <c r="B180" s="3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5.75" customHeight="1" x14ac:dyDescent="0.35">
      <c r="A181" s="2"/>
      <c r="B181" s="3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5.75" customHeight="1" x14ac:dyDescent="0.35">
      <c r="A182" s="2"/>
      <c r="B182" s="3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5.75" customHeight="1" x14ac:dyDescent="0.35">
      <c r="A183" s="2"/>
      <c r="B183" s="3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5.75" customHeight="1" x14ac:dyDescent="0.35">
      <c r="A184" s="2"/>
      <c r="B184" s="3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5.75" customHeight="1" x14ac:dyDescent="0.35">
      <c r="A185" s="2"/>
      <c r="B185" s="3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5.75" customHeight="1" x14ac:dyDescent="0.35">
      <c r="A186" s="2"/>
      <c r="B186" s="3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5.75" customHeight="1" x14ac:dyDescent="0.35">
      <c r="A187" s="2"/>
      <c r="B187" s="3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5.75" customHeight="1" x14ac:dyDescent="0.35">
      <c r="A188" s="2"/>
      <c r="B188" s="3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5.75" customHeight="1" x14ac:dyDescent="0.35">
      <c r="A189" s="2"/>
      <c r="B189" s="3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5.75" customHeight="1" x14ac:dyDescent="0.35">
      <c r="A190" s="2"/>
      <c r="B190" s="3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5.75" customHeight="1" x14ac:dyDescent="0.35">
      <c r="A191" s="2"/>
      <c r="B191" s="3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5.75" customHeight="1" x14ac:dyDescent="0.35">
      <c r="A192" s="2"/>
      <c r="B192" s="3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5.75" customHeight="1" x14ac:dyDescent="0.35">
      <c r="A193" s="2"/>
      <c r="B193" s="3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5.75" customHeight="1" x14ac:dyDescent="0.35">
      <c r="A194" s="2"/>
      <c r="B194" s="3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5.75" customHeight="1" x14ac:dyDescent="0.35">
      <c r="A195" s="2"/>
      <c r="B195" s="3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5.75" customHeight="1" x14ac:dyDescent="0.35">
      <c r="A196" s="2"/>
      <c r="B196" s="3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5.75" customHeight="1" x14ac:dyDescent="0.35">
      <c r="A197" s="2"/>
      <c r="B197" s="3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5.75" customHeight="1" x14ac:dyDescent="0.35">
      <c r="A198" s="2"/>
      <c r="B198" s="3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5.75" customHeight="1" x14ac:dyDescent="0.35">
      <c r="A199" s="2"/>
      <c r="B199" s="3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5.75" customHeight="1" x14ac:dyDescent="0.35">
      <c r="A200" s="2"/>
      <c r="B200" s="3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5.75" customHeight="1" x14ac:dyDescent="0.35">
      <c r="A201" s="2"/>
      <c r="B201" s="3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5.75" customHeight="1" x14ac:dyDescent="0.35">
      <c r="A202" s="2"/>
      <c r="B202" s="3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5.75" customHeight="1" x14ac:dyDescent="0.35">
      <c r="A203" s="2"/>
      <c r="B203" s="3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5.75" customHeight="1" x14ac:dyDescent="0.35">
      <c r="A204" s="2"/>
      <c r="B204" s="3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5.75" customHeight="1" x14ac:dyDescent="0.35">
      <c r="A205" s="2"/>
      <c r="B205" s="3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5.75" customHeight="1" x14ac:dyDescent="0.35">
      <c r="A206" s="2"/>
      <c r="B206" s="3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5.75" customHeight="1" x14ac:dyDescent="0.35">
      <c r="A207" s="2"/>
      <c r="B207" s="3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5.75" customHeight="1" x14ac:dyDescent="0.35">
      <c r="A208" s="2"/>
      <c r="B208" s="3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5.75" customHeight="1" x14ac:dyDescent="0.35">
      <c r="A209" s="2"/>
      <c r="B209" s="3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5.75" customHeight="1" x14ac:dyDescent="0.35">
      <c r="A210" s="2"/>
      <c r="B210" s="3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5.75" customHeight="1" x14ac:dyDescent="0.35">
      <c r="A211" s="2"/>
      <c r="B211" s="3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5.75" customHeight="1" x14ac:dyDescent="0.35">
      <c r="A212" s="2"/>
      <c r="B212" s="3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5.75" customHeight="1" x14ac:dyDescent="0.35">
      <c r="A213" s="2"/>
      <c r="B213" s="3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5.75" customHeight="1" x14ac:dyDescent="0.35">
      <c r="A214" s="2"/>
      <c r="B214" s="3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5.75" customHeight="1" x14ac:dyDescent="0.35">
      <c r="A215" s="2"/>
      <c r="B215" s="3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5.75" customHeight="1" x14ac:dyDescent="0.35">
      <c r="A216" s="2"/>
      <c r="B216" s="3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5.75" customHeight="1" x14ac:dyDescent="0.35">
      <c r="A217" s="2"/>
      <c r="B217" s="3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5.75" customHeight="1" x14ac:dyDescent="0.35">
      <c r="A218" s="2"/>
      <c r="B218" s="3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5.75" customHeight="1" x14ac:dyDescent="0.35">
      <c r="A219" s="2"/>
      <c r="B219" s="3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5.75" customHeight="1" x14ac:dyDescent="0.35">
      <c r="A220" s="2"/>
      <c r="B220" s="3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5.75" customHeight="1" x14ac:dyDescent="0.35">
      <c r="A221" s="2"/>
      <c r="B221" s="3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5.75" customHeight="1" x14ac:dyDescent="0.35">
      <c r="A222" s="2"/>
      <c r="B222" s="3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5.75" customHeight="1" x14ac:dyDescent="0.35">
      <c r="A223" s="2"/>
      <c r="B223" s="3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5.75" customHeight="1" x14ac:dyDescent="0.35">
      <c r="A224" s="2"/>
      <c r="B224" s="3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5.75" customHeight="1" x14ac:dyDescent="0.35">
      <c r="A225" s="2"/>
      <c r="B225" s="3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5.75" customHeight="1" x14ac:dyDescent="0.35">
      <c r="A226" s="2"/>
      <c r="B226" s="3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5.75" customHeight="1" x14ac:dyDescent="0.35">
      <c r="A227" s="2"/>
      <c r="B227" s="3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5.75" customHeight="1" x14ac:dyDescent="0.35">
      <c r="A228" s="2"/>
      <c r="B228" s="3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5.75" customHeight="1" x14ac:dyDescent="0.35">
      <c r="A229" s="2"/>
      <c r="B229" s="3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5.75" customHeight="1" x14ac:dyDescent="0.35">
      <c r="A230" s="2"/>
      <c r="B230" s="3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5.75" customHeight="1" x14ac:dyDescent="0.35">
      <c r="A231" s="2"/>
      <c r="B231" s="3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5.75" customHeight="1" x14ac:dyDescent="0.35">
      <c r="A232" s="2"/>
      <c r="B232" s="3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5.75" customHeight="1" x14ac:dyDescent="0.35">
      <c r="A233" s="2"/>
      <c r="B233" s="3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5.75" customHeight="1" x14ac:dyDescent="0.35">
      <c r="A234" s="2"/>
      <c r="B234" s="3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5.75" customHeight="1" x14ac:dyDescent="0.35">
      <c r="A235" s="2"/>
      <c r="B235" s="3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5.75" customHeight="1" x14ac:dyDescent="0.35">
      <c r="A236" s="2"/>
      <c r="B236" s="3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5.75" customHeight="1" x14ac:dyDescent="0.35">
      <c r="A237" s="2"/>
      <c r="B237" s="3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5.75" customHeight="1" x14ac:dyDescent="0.35">
      <c r="A238" s="2"/>
      <c r="B238" s="3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5.75" customHeight="1" x14ac:dyDescent="0.35">
      <c r="A239" s="2"/>
      <c r="B239" s="3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5.75" customHeight="1" x14ac:dyDescent="0.35">
      <c r="A240" s="2"/>
      <c r="B240" s="3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5.75" customHeight="1" x14ac:dyDescent="0.35">
      <c r="A241" s="2"/>
      <c r="B241" s="3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5.75" customHeight="1" x14ac:dyDescent="0.35">
      <c r="A242" s="2"/>
      <c r="B242" s="3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5.75" customHeight="1" x14ac:dyDescent="0.35">
      <c r="A243" s="2"/>
      <c r="B243" s="3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5.75" customHeight="1" x14ac:dyDescent="0.35">
      <c r="A244" s="2"/>
      <c r="B244" s="3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5.75" customHeight="1" x14ac:dyDescent="0.35">
      <c r="A245" s="2"/>
      <c r="B245" s="3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5.75" customHeight="1" x14ac:dyDescent="0.35">
      <c r="A246" s="2"/>
      <c r="B246" s="3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5.75" customHeight="1" x14ac:dyDescent="0.35">
      <c r="A247" s="2"/>
      <c r="B247" s="3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5.75" customHeight="1" x14ac:dyDescent="0.35">
      <c r="A248" s="2"/>
      <c r="B248" s="3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5.75" customHeight="1" x14ac:dyDescent="0.35">
      <c r="A249" s="2"/>
      <c r="B249" s="3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5.75" customHeight="1" x14ac:dyDescent="0.35">
      <c r="A250" s="2"/>
      <c r="B250" s="3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5.75" customHeight="1" x14ac:dyDescent="0.35">
      <c r="A251" s="2"/>
      <c r="B251" s="3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5.75" customHeight="1" x14ac:dyDescent="0.35">
      <c r="A252" s="2"/>
      <c r="B252" s="3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5.75" customHeight="1" x14ac:dyDescent="0.35">
      <c r="A253" s="2"/>
      <c r="B253" s="3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5.75" customHeight="1" x14ac:dyDescent="0.35">
      <c r="A254" s="2"/>
      <c r="B254" s="3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5.75" customHeight="1" x14ac:dyDescent="0.35">
      <c r="A255" s="2"/>
      <c r="B255" s="3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5.75" customHeight="1" x14ac:dyDescent="0.35">
      <c r="A256" s="2"/>
      <c r="B256" s="3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5.75" customHeight="1" x14ac:dyDescent="0.35">
      <c r="A257" s="2"/>
      <c r="B257" s="3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5.75" customHeight="1" x14ac:dyDescent="0.35">
      <c r="A258" s="2"/>
      <c r="B258" s="3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5.75" customHeight="1" x14ac:dyDescent="0.35">
      <c r="A259" s="2"/>
      <c r="B259" s="3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5.75" customHeight="1" x14ac:dyDescent="0.35">
      <c r="A260" s="2"/>
      <c r="B260" s="3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5.75" customHeight="1" x14ac:dyDescent="0.35">
      <c r="A261" s="2"/>
      <c r="B261" s="3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5.75" customHeight="1" x14ac:dyDescent="0.35">
      <c r="A262" s="2"/>
      <c r="B262" s="3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5.75" customHeight="1" x14ac:dyDescent="0.35">
      <c r="A263" s="2"/>
      <c r="B263" s="3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5.75" customHeight="1" x14ac:dyDescent="0.35">
      <c r="A264" s="2"/>
      <c r="B264" s="3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5.75" customHeight="1" x14ac:dyDescent="0.35">
      <c r="A265" s="2"/>
      <c r="B265" s="3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5.75" customHeight="1" x14ac:dyDescent="0.35">
      <c r="A266" s="2"/>
      <c r="B266" s="3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5.75" customHeight="1" x14ac:dyDescent="0.35">
      <c r="A267" s="2"/>
      <c r="B267" s="3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5.75" customHeight="1" x14ac:dyDescent="0.35">
      <c r="A268" s="2"/>
      <c r="B268" s="3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5.75" customHeight="1" x14ac:dyDescent="0.35">
      <c r="A269" s="2"/>
      <c r="B269" s="3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5.75" customHeight="1" x14ac:dyDescent="0.35">
      <c r="A270" s="2"/>
      <c r="B270" s="3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5.75" customHeight="1" x14ac:dyDescent="0.35">
      <c r="A271" s="2"/>
      <c r="B271" s="3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5.75" customHeight="1" x14ac:dyDescent="0.35">
      <c r="A272" s="2"/>
      <c r="B272" s="3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5.75" customHeight="1" x14ac:dyDescent="0.35">
      <c r="A273" s="2"/>
      <c r="B273" s="3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5.75" customHeight="1" x14ac:dyDescent="0.35">
      <c r="A274" s="2"/>
      <c r="B274" s="3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5.75" customHeight="1" x14ac:dyDescent="0.35">
      <c r="A275" s="2"/>
      <c r="B275" s="3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5.75" customHeight="1" x14ac:dyDescent="0.35">
      <c r="A276" s="2"/>
      <c r="B276" s="3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5.75" customHeight="1" x14ac:dyDescent="0.35">
      <c r="A277" s="2"/>
      <c r="B277" s="3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5.75" customHeight="1" x14ac:dyDescent="0.35">
      <c r="A278" s="2"/>
      <c r="B278" s="3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5.75" customHeight="1" x14ac:dyDescent="0.35">
      <c r="A279" s="2"/>
      <c r="B279" s="3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5.75" customHeight="1" x14ac:dyDescent="0.35">
      <c r="A280" s="2"/>
      <c r="B280" s="3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5.75" customHeight="1" x14ac:dyDescent="0.35">
      <c r="A281" s="2"/>
      <c r="B281" s="3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5.75" customHeight="1" x14ac:dyDescent="0.35">
      <c r="A282" s="2"/>
      <c r="B282" s="3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5.75" customHeight="1" x14ac:dyDescent="0.35">
      <c r="A283" s="2"/>
      <c r="B283" s="3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5.75" customHeight="1" x14ac:dyDescent="0.35">
      <c r="A284" s="2"/>
      <c r="B284" s="3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5.75" customHeight="1" x14ac:dyDescent="0.35">
      <c r="A285" s="2"/>
      <c r="B285" s="3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5.75" customHeight="1" x14ac:dyDescent="0.35">
      <c r="A286" s="2"/>
      <c r="B286" s="3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5.75" customHeight="1" x14ac:dyDescent="0.35">
      <c r="A287" s="2"/>
      <c r="B287" s="3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5.75" customHeight="1" x14ac:dyDescent="0.35">
      <c r="A288" s="2"/>
      <c r="B288" s="3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5.75" customHeight="1" x14ac:dyDescent="0.35">
      <c r="A289" s="2"/>
      <c r="B289" s="3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5.75" customHeight="1" x14ac:dyDescent="0.35">
      <c r="A290" s="2"/>
      <c r="B290" s="3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5.75" customHeight="1" x14ac:dyDescent="0.35">
      <c r="A291" s="2"/>
      <c r="B291" s="3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5.75" customHeight="1" x14ac:dyDescent="0.35">
      <c r="A292" s="2"/>
      <c r="B292" s="3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5.75" customHeight="1" x14ac:dyDescent="0.35">
      <c r="A293" s="2"/>
      <c r="B293" s="3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5.75" customHeight="1" x14ac:dyDescent="0.35">
      <c r="A294" s="2"/>
      <c r="B294" s="3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5.75" customHeight="1" x14ac:dyDescent="0.35">
      <c r="A295" s="2"/>
      <c r="B295" s="3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5.75" customHeight="1" x14ac:dyDescent="0.35">
      <c r="A296" s="2"/>
      <c r="B296" s="3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5.75" customHeight="1" x14ac:dyDescent="0.35">
      <c r="A297" s="2"/>
      <c r="B297" s="3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5.75" customHeight="1" x14ac:dyDescent="0.35">
      <c r="A298" s="2"/>
      <c r="B298" s="3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5.75" customHeight="1" x14ac:dyDescent="0.35">
      <c r="A299" s="2"/>
      <c r="B299" s="3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5.75" customHeight="1" x14ac:dyDescent="0.35">
      <c r="A300" s="2"/>
      <c r="B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5.75" customHeight="1" x14ac:dyDescent="0.35">
      <c r="A301" s="2"/>
      <c r="B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5.75" customHeight="1" x14ac:dyDescent="0.35">
      <c r="A302" s="2"/>
      <c r="B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5.75" customHeight="1" x14ac:dyDescent="0.35">
      <c r="A303" s="2"/>
      <c r="B303" s="3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5.75" customHeight="1" x14ac:dyDescent="0.35">
      <c r="A304" s="2"/>
      <c r="B304" s="3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5.75" customHeight="1" x14ac:dyDescent="0.35">
      <c r="A305" s="2"/>
      <c r="B305" s="3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5.75" customHeight="1" x14ac:dyDescent="0.35">
      <c r="A306" s="2"/>
      <c r="B306" s="3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5.75" customHeight="1" x14ac:dyDescent="0.35">
      <c r="A307" s="2"/>
      <c r="B307" s="3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5.75" customHeight="1" x14ac:dyDescent="0.35">
      <c r="A308" s="2"/>
      <c r="B308" s="3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5.75" customHeight="1" x14ac:dyDescent="0.35">
      <c r="A309" s="2"/>
      <c r="B309" s="3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5.75" customHeight="1" x14ac:dyDescent="0.35">
      <c r="A310" s="2"/>
      <c r="B310" s="3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5.75" customHeight="1" x14ac:dyDescent="0.35">
      <c r="A311" s="2"/>
      <c r="B311" s="3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5.75" customHeight="1" x14ac:dyDescent="0.35">
      <c r="A312" s="2"/>
      <c r="B312" s="3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5.75" customHeight="1" x14ac:dyDescent="0.35">
      <c r="A313" s="2"/>
      <c r="B313" s="3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5.75" customHeight="1" x14ac:dyDescent="0.35">
      <c r="A314" s="2"/>
      <c r="B314" s="3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5.75" customHeight="1" x14ac:dyDescent="0.35">
      <c r="A315" s="2"/>
      <c r="B315" s="3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5.75" customHeight="1" x14ac:dyDescent="0.35">
      <c r="A316" s="2"/>
      <c r="B316" s="3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5.75" customHeight="1" x14ac:dyDescent="0.35">
      <c r="A317" s="2"/>
      <c r="B317" s="3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5.75" customHeight="1" x14ac:dyDescent="0.35">
      <c r="A318" s="2"/>
      <c r="B318" s="3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5.75" customHeight="1" x14ac:dyDescent="0.35">
      <c r="A319" s="2"/>
      <c r="B319" s="3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5.75" customHeight="1" x14ac:dyDescent="0.35">
      <c r="A320" s="2"/>
      <c r="B320" s="3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5.75" customHeight="1" x14ac:dyDescent="0.35">
      <c r="A321" s="2"/>
      <c r="B321" s="3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5.75" customHeight="1" x14ac:dyDescent="0.35">
      <c r="A322" s="2"/>
      <c r="B322" s="3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5.75" customHeight="1" x14ac:dyDescent="0.35">
      <c r="A323" s="2"/>
      <c r="B323" s="3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5.75" customHeight="1" x14ac:dyDescent="0.35">
      <c r="A324" s="2"/>
      <c r="B324" s="3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5.75" customHeight="1" x14ac:dyDescent="0.35">
      <c r="A325" s="2"/>
      <c r="B325" s="3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5.75" customHeight="1" x14ac:dyDescent="0.35">
      <c r="A326" s="2"/>
      <c r="B326" s="3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5.75" customHeight="1" x14ac:dyDescent="0.35">
      <c r="A327" s="2"/>
      <c r="B327" s="3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5.75" customHeight="1" x14ac:dyDescent="0.35">
      <c r="A328" s="2"/>
      <c r="B328" s="3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5.75" customHeight="1" x14ac:dyDescent="0.35">
      <c r="A329" s="2"/>
      <c r="B329" s="3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5.75" customHeight="1" x14ac:dyDescent="0.35">
      <c r="A330" s="2"/>
      <c r="B330" s="3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5.75" customHeight="1" x14ac:dyDescent="0.35">
      <c r="A331" s="2"/>
      <c r="B331" s="3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5.75" customHeight="1" x14ac:dyDescent="0.35">
      <c r="A332" s="2"/>
      <c r="B332" s="3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5.75" customHeight="1" x14ac:dyDescent="0.35">
      <c r="A333" s="2"/>
      <c r="B333" s="3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5.75" customHeight="1" x14ac:dyDescent="0.35">
      <c r="A334" s="2"/>
      <c r="B334" s="3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5.75" customHeight="1" x14ac:dyDescent="0.35">
      <c r="A335" s="2"/>
      <c r="B335" s="3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5.75" customHeight="1" x14ac:dyDescent="0.35">
      <c r="A336" s="2"/>
      <c r="B336" s="3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5.75" customHeight="1" x14ac:dyDescent="0.35">
      <c r="A337" s="2"/>
      <c r="B337" s="3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5.75" customHeight="1" x14ac:dyDescent="0.35">
      <c r="A338" s="2"/>
      <c r="B338" s="3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5.75" customHeight="1" x14ac:dyDescent="0.35">
      <c r="A339" s="2"/>
      <c r="B339" s="3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5.75" customHeight="1" x14ac:dyDescent="0.35">
      <c r="A340" s="2"/>
      <c r="B340" s="3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5.75" customHeight="1" x14ac:dyDescent="0.35">
      <c r="A341" s="2"/>
      <c r="B341" s="3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5.75" customHeight="1" x14ac:dyDescent="0.35">
      <c r="A342" s="2"/>
      <c r="B342" s="3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5.75" customHeight="1" x14ac:dyDescent="0.35">
      <c r="A343" s="2"/>
      <c r="B343" s="3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5.75" customHeight="1" x14ac:dyDescent="0.35">
      <c r="A344" s="2"/>
      <c r="B344" s="3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5.75" customHeight="1" x14ac:dyDescent="0.35">
      <c r="A345" s="2"/>
      <c r="B345" s="3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5.75" customHeight="1" x14ac:dyDescent="0.35">
      <c r="A346" s="2"/>
      <c r="B346" s="3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5.75" customHeight="1" x14ac:dyDescent="0.35">
      <c r="A347" s="2"/>
      <c r="B347" s="3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5.75" customHeight="1" x14ac:dyDescent="0.35">
      <c r="A348" s="2"/>
      <c r="B348" s="3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5.75" customHeight="1" x14ac:dyDescent="0.35">
      <c r="A349" s="2"/>
      <c r="B349" s="3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5.75" customHeight="1" x14ac:dyDescent="0.35">
      <c r="A350" s="2"/>
      <c r="B350" s="3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5.75" customHeight="1" x14ac:dyDescent="0.35">
      <c r="A351" s="2"/>
      <c r="B351" s="3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5.75" customHeight="1" x14ac:dyDescent="0.35">
      <c r="A352" s="2"/>
      <c r="B352" s="3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5.75" customHeight="1" x14ac:dyDescent="0.35">
      <c r="A353" s="2"/>
      <c r="B353" s="3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5.75" customHeight="1" x14ac:dyDescent="0.35">
      <c r="A354" s="2"/>
      <c r="B354" s="3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5.75" customHeight="1" x14ac:dyDescent="0.35">
      <c r="A355" s="2"/>
      <c r="B355" s="3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5.75" customHeight="1" x14ac:dyDescent="0.35">
      <c r="A356" s="2"/>
      <c r="B356" s="3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5.75" customHeight="1" x14ac:dyDescent="0.35">
      <c r="A357" s="2"/>
      <c r="B357" s="3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5.75" customHeight="1" x14ac:dyDescent="0.35">
      <c r="A358" s="2"/>
      <c r="B358" s="3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5.75" customHeight="1" x14ac:dyDescent="0.35">
      <c r="A359" s="2"/>
      <c r="B359" s="3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5.75" customHeight="1" x14ac:dyDescent="0.35">
      <c r="A360" s="2"/>
      <c r="B360" s="3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5.75" customHeight="1" x14ac:dyDescent="0.35">
      <c r="A361" s="2"/>
      <c r="B361" s="3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5.75" customHeight="1" x14ac:dyDescent="0.35">
      <c r="A362" s="2"/>
      <c r="B362" s="3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5.75" customHeight="1" x14ac:dyDescent="0.35">
      <c r="A363" s="2"/>
      <c r="B363" s="3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5.75" customHeight="1" x14ac:dyDescent="0.35">
      <c r="A364" s="2"/>
      <c r="B364" s="3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5.75" customHeight="1" x14ac:dyDescent="0.35">
      <c r="A365" s="2"/>
      <c r="B365" s="3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5.75" customHeight="1" x14ac:dyDescent="0.35">
      <c r="A366" s="2"/>
      <c r="B366" s="3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5.75" customHeight="1" x14ac:dyDescent="0.35">
      <c r="A367" s="2"/>
      <c r="B367" s="3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5.75" customHeight="1" x14ac:dyDescent="0.35">
      <c r="A368" s="2"/>
      <c r="B368" s="3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5.75" customHeight="1" x14ac:dyDescent="0.35">
      <c r="A369" s="2"/>
      <c r="B369" s="3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5.75" customHeight="1" x14ac:dyDescent="0.35">
      <c r="A370" s="2"/>
      <c r="B370" s="3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5.75" customHeight="1" x14ac:dyDescent="0.35">
      <c r="A371" s="2"/>
      <c r="B371" s="3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5.75" customHeight="1" x14ac:dyDescent="0.35">
      <c r="A372" s="2"/>
      <c r="B372" s="3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5.75" customHeight="1" x14ac:dyDescent="0.35">
      <c r="A373" s="2"/>
      <c r="B373" s="3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5.75" customHeight="1" x14ac:dyDescent="0.35">
      <c r="A374" s="2"/>
      <c r="B374" s="3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5.75" customHeight="1" x14ac:dyDescent="0.35">
      <c r="A375" s="2"/>
      <c r="B375" s="3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5.75" customHeight="1" x14ac:dyDescent="0.35">
      <c r="A376" s="2"/>
      <c r="B376" s="3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5.75" customHeight="1" x14ac:dyDescent="0.35">
      <c r="A377" s="2"/>
      <c r="B377" s="3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5.75" customHeight="1" x14ac:dyDescent="0.35">
      <c r="A378" s="2"/>
      <c r="B378" s="3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5.75" customHeight="1" x14ac:dyDescent="0.35">
      <c r="A379" s="2"/>
      <c r="B379" s="3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5.75" customHeight="1" x14ac:dyDescent="0.35">
      <c r="A380" s="2"/>
      <c r="B380" s="3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5.75" customHeight="1" x14ac:dyDescent="0.35">
      <c r="A381" s="2"/>
      <c r="B381" s="3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5.75" customHeight="1" x14ac:dyDescent="0.35">
      <c r="A382" s="2"/>
      <c r="B382" s="3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5.75" customHeight="1" x14ac:dyDescent="0.35">
      <c r="A383" s="2"/>
      <c r="B383" s="3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5.75" customHeight="1" x14ac:dyDescent="0.35">
      <c r="A384" s="2"/>
      <c r="B384" s="3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5.75" customHeight="1" x14ac:dyDescent="0.35">
      <c r="A385" s="2"/>
      <c r="B385" s="3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5.75" customHeight="1" x14ac:dyDescent="0.35">
      <c r="A386" s="2"/>
      <c r="B386" s="3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5.75" customHeight="1" x14ac:dyDescent="0.35">
      <c r="A387" s="2"/>
      <c r="B387" s="3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5.75" customHeight="1" x14ac:dyDescent="0.35">
      <c r="A388" s="2"/>
      <c r="B388" s="3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5.75" customHeight="1" x14ac:dyDescent="0.35">
      <c r="A389" s="2"/>
      <c r="B389" s="3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5.75" customHeight="1" x14ac:dyDescent="0.35">
      <c r="A390" s="2"/>
      <c r="B390" s="3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5.75" customHeight="1" x14ac:dyDescent="0.35">
      <c r="A391" s="2"/>
      <c r="B391" s="3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5.75" customHeight="1" x14ac:dyDescent="0.35">
      <c r="A392" s="2"/>
      <c r="B392" s="3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5.75" customHeight="1" x14ac:dyDescent="0.35">
      <c r="A393" s="2"/>
      <c r="B393" s="3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5.75" customHeight="1" x14ac:dyDescent="0.35">
      <c r="A394" s="2"/>
      <c r="B394" s="3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5.75" customHeight="1" x14ac:dyDescent="0.35">
      <c r="A395" s="2"/>
      <c r="B395" s="3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5.75" customHeight="1" x14ac:dyDescent="0.35">
      <c r="A396" s="2"/>
      <c r="B396" s="3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5.75" customHeight="1" x14ac:dyDescent="0.35">
      <c r="A397" s="2"/>
      <c r="B397" s="3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5.75" customHeight="1" x14ac:dyDescent="0.35">
      <c r="A398" s="2"/>
      <c r="B398" s="3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5.75" customHeight="1" x14ac:dyDescent="0.35">
      <c r="A399" s="2"/>
      <c r="B399" s="3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5.75" customHeight="1" x14ac:dyDescent="0.35">
      <c r="A400" s="2"/>
      <c r="B400" s="3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5.75" customHeight="1" x14ac:dyDescent="0.35">
      <c r="A401" s="2"/>
      <c r="B401" s="3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5.75" customHeight="1" x14ac:dyDescent="0.35">
      <c r="A402" s="2"/>
      <c r="B402" s="3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5.75" customHeight="1" x14ac:dyDescent="0.35">
      <c r="A403" s="2"/>
      <c r="B403" s="3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5.75" customHeight="1" x14ac:dyDescent="0.35">
      <c r="A404" s="2"/>
      <c r="B404" s="3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5.75" customHeight="1" x14ac:dyDescent="0.35">
      <c r="A405" s="2"/>
      <c r="B405" s="3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5.75" customHeight="1" x14ac:dyDescent="0.35">
      <c r="A406" s="2"/>
      <c r="B406" s="3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5.75" customHeight="1" x14ac:dyDescent="0.35">
      <c r="A407" s="2"/>
      <c r="B407" s="3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5.75" customHeight="1" x14ac:dyDescent="0.35">
      <c r="A408" s="2"/>
      <c r="B408" s="3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5.75" customHeight="1" x14ac:dyDescent="0.35">
      <c r="A409" s="2"/>
      <c r="B409" s="3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5.75" customHeight="1" x14ac:dyDescent="0.35">
      <c r="A410" s="2"/>
      <c r="B410" s="3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5.75" customHeight="1" x14ac:dyDescent="0.35">
      <c r="A411" s="2"/>
      <c r="B411" s="3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5.75" customHeight="1" x14ac:dyDescent="0.35">
      <c r="A412" s="2"/>
      <c r="B412" s="3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5.75" customHeight="1" x14ac:dyDescent="0.35">
      <c r="A413" s="2"/>
      <c r="B413" s="3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5.75" customHeight="1" x14ac:dyDescent="0.35">
      <c r="A414" s="2"/>
      <c r="B414" s="3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5.75" customHeight="1" x14ac:dyDescent="0.35">
      <c r="A415" s="2"/>
      <c r="B415" s="3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5.75" customHeight="1" x14ac:dyDescent="0.35">
      <c r="A416" s="2"/>
      <c r="B416" s="3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5.75" customHeight="1" x14ac:dyDescent="0.35">
      <c r="A417" s="2"/>
      <c r="B417" s="3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5.75" customHeight="1" x14ac:dyDescent="0.35">
      <c r="A418" s="2"/>
      <c r="B418" s="3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5.75" customHeight="1" x14ac:dyDescent="0.35">
      <c r="A419" s="2"/>
      <c r="B419" s="3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5.75" customHeight="1" x14ac:dyDescent="0.35">
      <c r="A420" s="2"/>
      <c r="B420" s="3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5.75" customHeight="1" x14ac:dyDescent="0.35">
      <c r="A421" s="2"/>
      <c r="B421" s="3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5.75" customHeight="1" x14ac:dyDescent="0.35">
      <c r="A422" s="2"/>
      <c r="B422" s="3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5.75" customHeight="1" x14ac:dyDescent="0.35">
      <c r="A423" s="2"/>
      <c r="B423" s="3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5.75" customHeight="1" x14ac:dyDescent="0.35">
      <c r="A424" s="2"/>
      <c r="B424" s="3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5.75" customHeight="1" x14ac:dyDescent="0.35">
      <c r="A425" s="2"/>
      <c r="B425" s="3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5.75" customHeight="1" x14ac:dyDescent="0.35">
      <c r="A426" s="2"/>
      <c r="B426" s="3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5.75" customHeight="1" x14ac:dyDescent="0.35">
      <c r="A427" s="2"/>
      <c r="B427" s="3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5.75" customHeight="1" x14ac:dyDescent="0.35">
      <c r="A428" s="2"/>
      <c r="B428" s="3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5.75" customHeight="1" x14ac:dyDescent="0.35">
      <c r="A429" s="2"/>
      <c r="B429" s="3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5.75" customHeight="1" x14ac:dyDescent="0.35">
      <c r="A430" s="2"/>
      <c r="B430" s="3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5.75" customHeight="1" x14ac:dyDescent="0.35">
      <c r="A431" s="2"/>
      <c r="B431" s="3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5.75" customHeight="1" x14ac:dyDescent="0.35">
      <c r="A432" s="2"/>
      <c r="B432" s="3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5.75" customHeight="1" x14ac:dyDescent="0.35">
      <c r="A433" s="2"/>
      <c r="B433" s="3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5.75" customHeight="1" x14ac:dyDescent="0.35">
      <c r="A434" s="2"/>
      <c r="B434" s="3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5.75" customHeight="1" x14ac:dyDescent="0.35">
      <c r="A435" s="2"/>
      <c r="B435" s="3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5.75" customHeight="1" x14ac:dyDescent="0.35">
      <c r="A436" s="2"/>
      <c r="B436" s="3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5.75" customHeight="1" x14ac:dyDescent="0.35">
      <c r="A437" s="2"/>
      <c r="B437" s="3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5.75" customHeight="1" x14ac:dyDescent="0.35">
      <c r="A438" s="2"/>
      <c r="B438" s="3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5.75" customHeight="1" x14ac:dyDescent="0.35">
      <c r="A439" s="2"/>
      <c r="B439" s="3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5.75" customHeight="1" x14ac:dyDescent="0.35">
      <c r="A440" s="2"/>
      <c r="B440" s="3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5.75" customHeight="1" x14ac:dyDescent="0.35">
      <c r="A441" s="2"/>
      <c r="B441" s="3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5.75" customHeight="1" x14ac:dyDescent="0.35">
      <c r="A442" s="2"/>
      <c r="B442" s="3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5.75" customHeight="1" x14ac:dyDescent="0.35">
      <c r="A443" s="2"/>
      <c r="B443" s="3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5.75" customHeight="1" x14ac:dyDescent="0.35">
      <c r="A444" s="2"/>
      <c r="B444" s="3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5.75" customHeight="1" x14ac:dyDescent="0.35">
      <c r="A445" s="2"/>
      <c r="B445" s="3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5.75" customHeight="1" x14ac:dyDescent="0.35">
      <c r="A446" s="2"/>
      <c r="B446" s="3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5.75" customHeight="1" x14ac:dyDescent="0.35">
      <c r="A447" s="2"/>
      <c r="B447" s="3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5.75" customHeight="1" x14ac:dyDescent="0.35">
      <c r="A448" s="2"/>
      <c r="B448" s="3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5.75" customHeight="1" x14ac:dyDescent="0.35">
      <c r="A449" s="2"/>
      <c r="B449" s="3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5.75" customHeight="1" x14ac:dyDescent="0.35">
      <c r="A450" s="2"/>
      <c r="B450" s="3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5.75" customHeight="1" x14ac:dyDescent="0.35">
      <c r="A451" s="2"/>
      <c r="B451" s="3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5.75" customHeight="1" x14ac:dyDescent="0.35">
      <c r="A452" s="2"/>
      <c r="B452" s="3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5.75" customHeight="1" x14ac:dyDescent="0.35">
      <c r="A453" s="2"/>
      <c r="B453" s="3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5.75" customHeight="1" x14ac:dyDescent="0.35">
      <c r="A454" s="2"/>
      <c r="B454" s="3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5.75" customHeight="1" x14ac:dyDescent="0.35">
      <c r="A455" s="2"/>
      <c r="B455" s="3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5.75" customHeight="1" x14ac:dyDescent="0.35">
      <c r="A456" s="2"/>
      <c r="B456" s="3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5.75" customHeight="1" x14ac:dyDescent="0.35">
      <c r="A457" s="2"/>
      <c r="B457" s="3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5.75" customHeight="1" x14ac:dyDescent="0.35">
      <c r="A458" s="2"/>
      <c r="B458" s="3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5.75" customHeight="1" x14ac:dyDescent="0.35">
      <c r="A459" s="2"/>
      <c r="B459" s="3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5.75" customHeight="1" x14ac:dyDescent="0.35">
      <c r="A460" s="2"/>
      <c r="B460" s="3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5.75" customHeight="1" x14ac:dyDescent="0.35">
      <c r="A461" s="2"/>
      <c r="B461" s="3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5.75" customHeight="1" x14ac:dyDescent="0.35">
      <c r="A462" s="2"/>
      <c r="B462" s="3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5.75" customHeight="1" x14ac:dyDescent="0.35">
      <c r="A463" s="2"/>
      <c r="B463" s="3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5.75" customHeight="1" x14ac:dyDescent="0.35">
      <c r="A464" s="2"/>
      <c r="B464" s="3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5.75" customHeight="1" x14ac:dyDescent="0.35">
      <c r="A465" s="2"/>
      <c r="B465" s="3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5.75" customHeight="1" x14ac:dyDescent="0.35">
      <c r="A466" s="2"/>
      <c r="B466" s="3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5.75" customHeight="1" x14ac:dyDescent="0.35">
      <c r="A467" s="2"/>
      <c r="B467" s="3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5.75" customHeight="1" x14ac:dyDescent="0.35">
      <c r="A468" s="2"/>
      <c r="B468" s="3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5.75" customHeight="1" x14ac:dyDescent="0.35">
      <c r="A469" s="2"/>
      <c r="B469" s="3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5.75" customHeight="1" x14ac:dyDescent="0.35">
      <c r="A470" s="2"/>
      <c r="B470" s="3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5.75" customHeight="1" x14ac:dyDescent="0.35">
      <c r="A471" s="2"/>
      <c r="B471" s="3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5.75" customHeight="1" x14ac:dyDescent="0.35">
      <c r="A472" s="2"/>
      <c r="B472" s="3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5.75" customHeight="1" x14ac:dyDescent="0.35">
      <c r="A473" s="2"/>
      <c r="B473" s="3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5.75" customHeight="1" x14ac:dyDescent="0.35">
      <c r="A474" s="2"/>
      <c r="B474" s="3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5.75" customHeight="1" x14ac:dyDescent="0.35">
      <c r="A475" s="2"/>
      <c r="B475" s="3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5.75" customHeight="1" x14ac:dyDescent="0.35">
      <c r="A476" s="2"/>
      <c r="B476" s="3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5.75" customHeight="1" x14ac:dyDescent="0.35">
      <c r="A477" s="2"/>
      <c r="B477" s="3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5.75" customHeight="1" x14ac:dyDescent="0.35">
      <c r="A478" s="2"/>
      <c r="B478" s="3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5.75" customHeight="1" x14ac:dyDescent="0.35">
      <c r="A479" s="2"/>
      <c r="B479" s="3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5.75" customHeight="1" x14ac:dyDescent="0.35">
      <c r="A480" s="2"/>
      <c r="B480" s="3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5.75" customHeight="1" x14ac:dyDescent="0.35">
      <c r="A481" s="2"/>
      <c r="B481" s="3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5.75" customHeight="1" x14ac:dyDescent="0.35">
      <c r="A482" s="2"/>
      <c r="B482" s="3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5.75" customHeight="1" x14ac:dyDescent="0.35">
      <c r="A483" s="2"/>
      <c r="B483" s="3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5.75" customHeight="1" x14ac:dyDescent="0.35">
      <c r="A484" s="2"/>
      <c r="B484" s="3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5.75" customHeight="1" x14ac:dyDescent="0.35">
      <c r="A485" s="2"/>
      <c r="B485" s="3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5.75" customHeight="1" x14ac:dyDescent="0.35">
      <c r="A486" s="2"/>
      <c r="B486" s="3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5.75" customHeight="1" x14ac:dyDescent="0.35">
      <c r="A487" s="2"/>
      <c r="B487" s="3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5.75" customHeight="1" x14ac:dyDescent="0.35">
      <c r="A488" s="2"/>
      <c r="B488" s="3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5.75" customHeight="1" x14ac:dyDescent="0.35">
      <c r="A489" s="2"/>
      <c r="B489" s="3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5.75" customHeight="1" x14ac:dyDescent="0.35">
      <c r="A490" s="2"/>
      <c r="B490" s="3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5.75" customHeight="1" x14ac:dyDescent="0.35">
      <c r="A491" s="2"/>
      <c r="B491" s="3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5.75" customHeight="1" x14ac:dyDescent="0.35">
      <c r="A492" s="2"/>
      <c r="B492" s="3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5.75" customHeight="1" x14ac:dyDescent="0.35">
      <c r="A493" s="2"/>
      <c r="B493" s="3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5.75" customHeight="1" x14ac:dyDescent="0.35">
      <c r="A494" s="2"/>
      <c r="B494" s="3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5.75" customHeight="1" x14ac:dyDescent="0.35">
      <c r="A495" s="2"/>
      <c r="B495" s="3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5.75" customHeight="1" x14ac:dyDescent="0.35">
      <c r="A496" s="2"/>
      <c r="B496" s="3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5.75" customHeight="1" x14ac:dyDescent="0.35">
      <c r="A497" s="2"/>
      <c r="B497" s="3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5.75" customHeight="1" x14ac:dyDescent="0.35">
      <c r="A498" s="2"/>
      <c r="B498" s="3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5.75" customHeight="1" x14ac:dyDescent="0.35">
      <c r="A499" s="2"/>
      <c r="B499" s="3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5.75" customHeight="1" x14ac:dyDescent="0.35">
      <c r="A500" s="2"/>
      <c r="B500" s="3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5.75" customHeight="1" x14ac:dyDescent="0.35">
      <c r="A501" s="2"/>
      <c r="B501" s="3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5.75" customHeight="1" x14ac:dyDescent="0.35">
      <c r="A502" s="2"/>
      <c r="B502" s="3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5.75" customHeight="1" x14ac:dyDescent="0.35">
      <c r="A503" s="2"/>
      <c r="B503" s="3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5.75" customHeight="1" x14ac:dyDescent="0.35">
      <c r="A504" s="2"/>
      <c r="B504" s="3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5.75" customHeight="1" x14ac:dyDescent="0.35">
      <c r="A505" s="2"/>
      <c r="B505" s="3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5.75" customHeight="1" x14ac:dyDescent="0.35">
      <c r="A506" s="2"/>
      <c r="B506" s="3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5.75" customHeight="1" x14ac:dyDescent="0.35">
      <c r="A507" s="2"/>
      <c r="B507" s="3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5.75" customHeight="1" x14ac:dyDescent="0.35">
      <c r="A508" s="2"/>
      <c r="B508" s="3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5.75" customHeight="1" x14ac:dyDescent="0.35">
      <c r="A509" s="2"/>
      <c r="B509" s="3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5.75" customHeight="1" x14ac:dyDescent="0.35">
      <c r="A510" s="2"/>
      <c r="B510" s="3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5.75" customHeight="1" x14ac:dyDescent="0.35">
      <c r="A511" s="2"/>
      <c r="B511" s="3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5.75" customHeight="1" x14ac:dyDescent="0.35">
      <c r="A512" s="2"/>
      <c r="B512" s="3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5.75" customHeight="1" x14ac:dyDescent="0.35">
      <c r="A513" s="2"/>
      <c r="B513" s="3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5.75" customHeight="1" x14ac:dyDescent="0.35">
      <c r="A514" s="2"/>
      <c r="B514" s="3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5.75" customHeight="1" x14ac:dyDescent="0.35">
      <c r="A515" s="2"/>
      <c r="B515" s="3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5.75" customHeight="1" x14ac:dyDescent="0.35">
      <c r="A516" s="2"/>
      <c r="B516" s="3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5.75" customHeight="1" x14ac:dyDescent="0.35">
      <c r="A517" s="2"/>
      <c r="B517" s="3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5.75" customHeight="1" x14ac:dyDescent="0.35">
      <c r="A518" s="2"/>
      <c r="B518" s="3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5.75" customHeight="1" x14ac:dyDescent="0.35">
      <c r="A519" s="2"/>
      <c r="B519" s="3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5.75" customHeight="1" x14ac:dyDescent="0.35">
      <c r="A520" s="2"/>
      <c r="B520" s="3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5.75" customHeight="1" x14ac:dyDescent="0.35">
      <c r="A521" s="2"/>
      <c r="B521" s="3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5.75" customHeight="1" x14ac:dyDescent="0.35">
      <c r="A522" s="2"/>
      <c r="B522" s="3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5.75" customHeight="1" x14ac:dyDescent="0.35">
      <c r="A523" s="2"/>
      <c r="B523" s="3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5.75" customHeight="1" x14ac:dyDescent="0.35">
      <c r="A524" s="2"/>
      <c r="B524" s="3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5.75" customHeight="1" x14ac:dyDescent="0.35">
      <c r="A525" s="2"/>
      <c r="B525" s="3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5.75" customHeight="1" x14ac:dyDescent="0.35">
      <c r="A526" s="2"/>
      <c r="B526" s="3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5.75" customHeight="1" x14ac:dyDescent="0.35">
      <c r="A527" s="2"/>
      <c r="B527" s="3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5.75" customHeight="1" x14ac:dyDescent="0.35">
      <c r="A528" s="2"/>
      <c r="B528" s="3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5.75" customHeight="1" x14ac:dyDescent="0.35">
      <c r="A529" s="2"/>
      <c r="B529" s="3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5.75" customHeight="1" x14ac:dyDescent="0.35">
      <c r="A530" s="2"/>
      <c r="B530" s="3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5.75" customHeight="1" x14ac:dyDescent="0.35">
      <c r="A531" s="2"/>
      <c r="B531" s="3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5.75" customHeight="1" x14ac:dyDescent="0.35">
      <c r="A532" s="2"/>
      <c r="B532" s="3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5.75" customHeight="1" x14ac:dyDescent="0.35">
      <c r="A533" s="2"/>
      <c r="B533" s="3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5.75" customHeight="1" x14ac:dyDescent="0.35">
      <c r="A534" s="2"/>
      <c r="B534" s="3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5.75" customHeight="1" x14ac:dyDescent="0.35">
      <c r="A535" s="2"/>
      <c r="B535" s="3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5.75" customHeight="1" x14ac:dyDescent="0.35">
      <c r="A536" s="2"/>
      <c r="B536" s="3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5.75" customHeight="1" x14ac:dyDescent="0.35">
      <c r="A537" s="2"/>
      <c r="B537" s="3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5.75" customHeight="1" x14ac:dyDescent="0.35">
      <c r="A538" s="2"/>
      <c r="B538" s="3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5.75" customHeight="1" x14ac:dyDescent="0.35">
      <c r="A539" s="2"/>
      <c r="B539" s="3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5.75" customHeight="1" x14ac:dyDescent="0.35">
      <c r="A540" s="2"/>
      <c r="B540" s="3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5.75" customHeight="1" x14ac:dyDescent="0.35">
      <c r="A541" s="2"/>
      <c r="B541" s="3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5.75" customHeight="1" x14ac:dyDescent="0.35">
      <c r="A542" s="2"/>
      <c r="B542" s="3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5.75" customHeight="1" x14ac:dyDescent="0.35">
      <c r="A543" s="2"/>
      <c r="B543" s="3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5.75" customHeight="1" x14ac:dyDescent="0.35">
      <c r="A544" s="2"/>
      <c r="B544" s="3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5.75" customHeight="1" x14ac:dyDescent="0.35">
      <c r="A545" s="2"/>
      <c r="B545" s="3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5.75" customHeight="1" x14ac:dyDescent="0.35">
      <c r="A546" s="2"/>
      <c r="B546" s="3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5.75" customHeight="1" x14ac:dyDescent="0.35">
      <c r="A547" s="2"/>
      <c r="B547" s="3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5.75" customHeight="1" x14ac:dyDescent="0.35">
      <c r="A548" s="2"/>
      <c r="B548" s="3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5.75" customHeight="1" x14ac:dyDescent="0.35">
      <c r="A549" s="2"/>
      <c r="B549" s="3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5.75" customHeight="1" x14ac:dyDescent="0.35">
      <c r="A550" s="2"/>
      <c r="B550" s="3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5.75" customHeight="1" x14ac:dyDescent="0.35">
      <c r="A551" s="2"/>
      <c r="B551" s="3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5.75" customHeight="1" x14ac:dyDescent="0.35">
      <c r="A552" s="2"/>
      <c r="B552" s="3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5.75" customHeight="1" x14ac:dyDescent="0.35">
      <c r="A553" s="2"/>
      <c r="B553" s="3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5.75" customHeight="1" x14ac:dyDescent="0.35">
      <c r="A554" s="2"/>
      <c r="B554" s="3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5.75" customHeight="1" x14ac:dyDescent="0.35">
      <c r="A555" s="2"/>
      <c r="B555" s="3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5.75" customHeight="1" x14ac:dyDescent="0.35">
      <c r="A556" s="2"/>
      <c r="B556" s="3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5.75" customHeight="1" x14ac:dyDescent="0.35">
      <c r="A557" s="2"/>
      <c r="B557" s="3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5.75" customHeight="1" x14ac:dyDescent="0.35">
      <c r="A558" s="2"/>
      <c r="B558" s="3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5.75" customHeight="1" x14ac:dyDescent="0.35">
      <c r="A559" s="2"/>
      <c r="B559" s="3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5.75" customHeight="1" x14ac:dyDescent="0.35">
      <c r="A560" s="2"/>
      <c r="B560" s="3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5.75" customHeight="1" x14ac:dyDescent="0.35">
      <c r="A561" s="2"/>
      <c r="B561" s="3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5.75" customHeight="1" x14ac:dyDescent="0.35">
      <c r="A562" s="2"/>
      <c r="B562" s="3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5.75" customHeight="1" x14ac:dyDescent="0.35">
      <c r="A563" s="2"/>
      <c r="B563" s="3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5.75" customHeight="1" x14ac:dyDescent="0.35">
      <c r="A564" s="2"/>
      <c r="B564" s="3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5.75" customHeight="1" x14ac:dyDescent="0.35">
      <c r="A565" s="2"/>
      <c r="B565" s="3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5.75" customHeight="1" x14ac:dyDescent="0.35">
      <c r="A566" s="2"/>
      <c r="B566" s="3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5.75" customHeight="1" x14ac:dyDescent="0.35">
      <c r="A567" s="2"/>
      <c r="B567" s="3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5.75" customHeight="1" x14ac:dyDescent="0.35">
      <c r="A568" s="2"/>
      <c r="B568" s="3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5.75" customHeight="1" x14ac:dyDescent="0.35">
      <c r="A569" s="2"/>
      <c r="B569" s="3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5.75" customHeight="1" x14ac:dyDescent="0.35">
      <c r="A570" s="2"/>
      <c r="B570" s="3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5.75" customHeight="1" x14ac:dyDescent="0.35">
      <c r="A571" s="2"/>
      <c r="B571" s="3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5.75" customHeight="1" x14ac:dyDescent="0.35">
      <c r="A572" s="2"/>
      <c r="B572" s="3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5.75" customHeight="1" x14ac:dyDescent="0.35">
      <c r="A573" s="2"/>
      <c r="B573" s="3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5.75" customHeight="1" x14ac:dyDescent="0.35">
      <c r="A574" s="2"/>
      <c r="B574" s="3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5.75" customHeight="1" x14ac:dyDescent="0.35">
      <c r="A575" s="2"/>
      <c r="B575" s="3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5.75" customHeight="1" x14ac:dyDescent="0.35">
      <c r="A576" s="2"/>
      <c r="B576" s="3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5.75" customHeight="1" x14ac:dyDescent="0.35">
      <c r="A577" s="2"/>
      <c r="B577" s="3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5.75" customHeight="1" x14ac:dyDescent="0.35">
      <c r="A578" s="2"/>
      <c r="B578" s="3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5.75" customHeight="1" x14ac:dyDescent="0.35">
      <c r="A579" s="2"/>
      <c r="B579" s="3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5.75" customHeight="1" x14ac:dyDescent="0.35">
      <c r="A580" s="2"/>
      <c r="B580" s="3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5.75" customHeight="1" x14ac:dyDescent="0.35">
      <c r="A581" s="2"/>
      <c r="B581" s="3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5.75" customHeight="1" x14ac:dyDescent="0.35">
      <c r="A582" s="2"/>
      <c r="B582" s="3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5.75" customHeight="1" x14ac:dyDescent="0.35">
      <c r="A583" s="2"/>
      <c r="B583" s="3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5.75" customHeight="1" x14ac:dyDescent="0.35">
      <c r="A584" s="2"/>
      <c r="B584" s="3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5.75" customHeight="1" x14ac:dyDescent="0.35">
      <c r="A585" s="2"/>
      <c r="B585" s="3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5.75" customHeight="1" x14ac:dyDescent="0.35">
      <c r="A586" s="2"/>
      <c r="B586" s="3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5.75" customHeight="1" x14ac:dyDescent="0.35">
      <c r="A587" s="2"/>
      <c r="B587" s="3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5.75" customHeight="1" x14ac:dyDescent="0.35">
      <c r="A588" s="2"/>
      <c r="B588" s="3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5.75" customHeight="1" x14ac:dyDescent="0.35">
      <c r="A589" s="2"/>
      <c r="B589" s="3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5.75" customHeight="1" x14ac:dyDescent="0.35">
      <c r="A590" s="2"/>
      <c r="B590" s="3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5.75" customHeight="1" x14ac:dyDescent="0.35">
      <c r="A591" s="2"/>
      <c r="B591" s="3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5.75" customHeight="1" x14ac:dyDescent="0.35">
      <c r="A592" s="2"/>
      <c r="B592" s="3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5.75" customHeight="1" x14ac:dyDescent="0.35">
      <c r="A593" s="2"/>
      <c r="B593" s="3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5.75" customHeight="1" x14ac:dyDescent="0.35">
      <c r="A594" s="2"/>
      <c r="B594" s="3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5.75" customHeight="1" x14ac:dyDescent="0.35">
      <c r="A595" s="2"/>
      <c r="B595" s="3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5.75" customHeight="1" x14ac:dyDescent="0.35">
      <c r="A596" s="2"/>
      <c r="B596" s="3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5.75" customHeight="1" x14ac:dyDescent="0.35">
      <c r="A597" s="2"/>
      <c r="B597" s="3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5.75" customHeight="1" x14ac:dyDescent="0.35">
      <c r="A598" s="2"/>
      <c r="B598" s="3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5.75" customHeight="1" x14ac:dyDescent="0.35">
      <c r="A599" s="2"/>
      <c r="B599" s="3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5.75" customHeight="1" x14ac:dyDescent="0.35">
      <c r="A600" s="2"/>
      <c r="B600" s="3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5.75" customHeight="1" x14ac:dyDescent="0.35">
      <c r="A601" s="2"/>
      <c r="B601" s="3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5.75" customHeight="1" x14ac:dyDescent="0.35">
      <c r="A602" s="2"/>
      <c r="B602" s="3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5.75" customHeight="1" x14ac:dyDescent="0.35">
      <c r="A603" s="2"/>
      <c r="B603" s="3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5.75" customHeight="1" x14ac:dyDescent="0.35">
      <c r="A604" s="2"/>
      <c r="B604" s="3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5.75" customHeight="1" x14ac:dyDescent="0.35">
      <c r="A605" s="2"/>
      <c r="B605" s="3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5.75" customHeight="1" x14ac:dyDescent="0.35">
      <c r="A606" s="2"/>
      <c r="B606" s="3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5.75" customHeight="1" x14ac:dyDescent="0.35">
      <c r="A607" s="2"/>
      <c r="B607" s="3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5.75" customHeight="1" x14ac:dyDescent="0.35">
      <c r="A608" s="2"/>
      <c r="B608" s="3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5.75" customHeight="1" x14ac:dyDescent="0.35">
      <c r="A609" s="2"/>
      <c r="B609" s="3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5.75" customHeight="1" x14ac:dyDescent="0.35">
      <c r="A610" s="2"/>
      <c r="B610" s="3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5.75" customHeight="1" x14ac:dyDescent="0.35">
      <c r="A611" s="2"/>
      <c r="B611" s="3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5.75" customHeight="1" x14ac:dyDescent="0.35">
      <c r="A612" s="2"/>
      <c r="B612" s="3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5.75" customHeight="1" x14ac:dyDescent="0.35">
      <c r="A613" s="2"/>
      <c r="B613" s="3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5.75" customHeight="1" x14ac:dyDescent="0.35">
      <c r="A614" s="2"/>
      <c r="B614" s="3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5.75" customHeight="1" x14ac:dyDescent="0.35">
      <c r="A615" s="2"/>
      <c r="B615" s="3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5.75" customHeight="1" x14ac:dyDescent="0.35">
      <c r="A616" s="2"/>
      <c r="B616" s="3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5.75" customHeight="1" x14ac:dyDescent="0.35">
      <c r="A617" s="2"/>
      <c r="B617" s="3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5.75" customHeight="1" x14ac:dyDescent="0.35">
      <c r="A618" s="2"/>
      <c r="B618" s="3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5.75" customHeight="1" x14ac:dyDescent="0.35">
      <c r="A619" s="2"/>
      <c r="B619" s="3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5.75" customHeight="1" x14ac:dyDescent="0.35">
      <c r="A620" s="2"/>
      <c r="B620" s="3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5.75" customHeight="1" x14ac:dyDescent="0.35">
      <c r="A621" s="2"/>
      <c r="B621" s="3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5.75" customHeight="1" x14ac:dyDescent="0.35">
      <c r="A622" s="2"/>
      <c r="B622" s="3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5.75" customHeight="1" x14ac:dyDescent="0.35">
      <c r="A623" s="2"/>
      <c r="B623" s="3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5.75" customHeight="1" x14ac:dyDescent="0.35">
      <c r="A624" s="2"/>
      <c r="B624" s="3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5.75" customHeight="1" x14ac:dyDescent="0.35">
      <c r="A625" s="2"/>
      <c r="B625" s="3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5.75" customHeight="1" x14ac:dyDescent="0.35">
      <c r="A626" s="2"/>
      <c r="B626" s="3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5.75" customHeight="1" x14ac:dyDescent="0.35">
      <c r="A627" s="2"/>
      <c r="B627" s="3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5.75" customHeight="1" x14ac:dyDescent="0.35">
      <c r="A628" s="2"/>
      <c r="B628" s="3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5.75" customHeight="1" x14ac:dyDescent="0.35">
      <c r="A629" s="2"/>
      <c r="B629" s="3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5.75" customHeight="1" x14ac:dyDescent="0.35">
      <c r="A630" s="2"/>
      <c r="B630" s="3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5.75" customHeight="1" x14ac:dyDescent="0.35">
      <c r="A631" s="2"/>
      <c r="B631" s="3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5.75" customHeight="1" x14ac:dyDescent="0.35">
      <c r="A632" s="2"/>
      <c r="B632" s="3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5.75" customHeight="1" x14ac:dyDescent="0.35">
      <c r="A633" s="2"/>
      <c r="B633" s="3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5.75" customHeight="1" x14ac:dyDescent="0.35">
      <c r="A634" s="2"/>
      <c r="B634" s="3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5.75" customHeight="1" x14ac:dyDescent="0.35">
      <c r="A635" s="2"/>
      <c r="B635" s="3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5.75" customHeight="1" x14ac:dyDescent="0.35">
      <c r="A636" s="2"/>
      <c r="B636" s="3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5.75" customHeight="1" x14ac:dyDescent="0.35">
      <c r="A637" s="2"/>
      <c r="B637" s="3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5.75" customHeight="1" x14ac:dyDescent="0.35">
      <c r="A638" s="2"/>
      <c r="B638" s="3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5.75" customHeight="1" x14ac:dyDescent="0.35">
      <c r="A639" s="2"/>
      <c r="B639" s="3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5.75" customHeight="1" x14ac:dyDescent="0.35">
      <c r="A640" s="2"/>
      <c r="B640" s="3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5.75" customHeight="1" x14ac:dyDescent="0.35">
      <c r="A641" s="2"/>
      <c r="B641" s="3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5.75" customHeight="1" x14ac:dyDescent="0.35">
      <c r="A642" s="2"/>
      <c r="B642" s="3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5.75" customHeight="1" x14ac:dyDescent="0.35">
      <c r="A643" s="2"/>
      <c r="B643" s="3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5.75" customHeight="1" x14ac:dyDescent="0.35">
      <c r="A644" s="2"/>
      <c r="B644" s="3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5.75" customHeight="1" x14ac:dyDescent="0.35">
      <c r="A645" s="2"/>
      <c r="B645" s="3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5.75" customHeight="1" x14ac:dyDescent="0.35">
      <c r="A646" s="2"/>
      <c r="B646" s="3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5.75" customHeight="1" x14ac:dyDescent="0.35">
      <c r="A647" s="2"/>
      <c r="B647" s="3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5.75" customHeight="1" x14ac:dyDescent="0.35">
      <c r="A648" s="2"/>
      <c r="B648" s="3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5.75" customHeight="1" x14ac:dyDescent="0.35">
      <c r="A649" s="2"/>
      <c r="B649" s="3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5.75" customHeight="1" x14ac:dyDescent="0.35">
      <c r="A650" s="2"/>
      <c r="B650" s="3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5.75" customHeight="1" x14ac:dyDescent="0.35">
      <c r="A651" s="2"/>
      <c r="B651" s="3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5.75" customHeight="1" x14ac:dyDescent="0.35">
      <c r="A652" s="2"/>
      <c r="B652" s="3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5.75" customHeight="1" x14ac:dyDescent="0.35">
      <c r="A653" s="2"/>
      <c r="B653" s="3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5.75" customHeight="1" x14ac:dyDescent="0.35">
      <c r="A654" s="2"/>
      <c r="B654" s="3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5.75" customHeight="1" x14ac:dyDescent="0.35">
      <c r="A655" s="2"/>
      <c r="B655" s="3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5.75" customHeight="1" x14ac:dyDescent="0.35">
      <c r="A656" s="2"/>
      <c r="B656" s="3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5.75" customHeight="1" x14ac:dyDescent="0.35">
      <c r="A657" s="2"/>
      <c r="B657" s="3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5.75" customHeight="1" x14ac:dyDescent="0.35">
      <c r="A658" s="2"/>
      <c r="B658" s="3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5.75" customHeight="1" x14ac:dyDescent="0.35">
      <c r="A659" s="2"/>
      <c r="B659" s="3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5.75" customHeight="1" x14ac:dyDescent="0.35">
      <c r="A660" s="2"/>
      <c r="B660" s="3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5.75" customHeight="1" x14ac:dyDescent="0.35">
      <c r="A661" s="2"/>
      <c r="B661" s="3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5.75" customHeight="1" x14ac:dyDescent="0.35">
      <c r="A662" s="2"/>
      <c r="B662" s="3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5.75" customHeight="1" x14ac:dyDescent="0.35">
      <c r="A663" s="2"/>
      <c r="B663" s="3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5.75" customHeight="1" x14ac:dyDescent="0.35">
      <c r="A664" s="2"/>
      <c r="B664" s="3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5.75" customHeight="1" x14ac:dyDescent="0.35">
      <c r="A665" s="2"/>
      <c r="B665" s="3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5.75" customHeight="1" x14ac:dyDescent="0.35">
      <c r="A666" s="2"/>
      <c r="B666" s="3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5.75" customHeight="1" x14ac:dyDescent="0.35">
      <c r="A667" s="2"/>
      <c r="B667" s="3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5.75" customHeight="1" x14ac:dyDescent="0.35">
      <c r="A668" s="2"/>
      <c r="B668" s="3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5.75" customHeight="1" x14ac:dyDescent="0.35">
      <c r="A669" s="2"/>
      <c r="B669" s="3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5.75" customHeight="1" x14ac:dyDescent="0.35">
      <c r="A670" s="2"/>
      <c r="B670" s="3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5.75" customHeight="1" x14ac:dyDescent="0.35">
      <c r="A671" s="2"/>
      <c r="B671" s="3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5.75" customHeight="1" x14ac:dyDescent="0.35">
      <c r="A672" s="2"/>
      <c r="B672" s="3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5.75" customHeight="1" x14ac:dyDescent="0.35">
      <c r="A673" s="2"/>
      <c r="B673" s="3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5.75" customHeight="1" x14ac:dyDescent="0.35">
      <c r="A674" s="2"/>
      <c r="B674" s="3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5.75" customHeight="1" x14ac:dyDescent="0.35">
      <c r="A675" s="2"/>
      <c r="B675" s="3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5.75" customHeight="1" x14ac:dyDescent="0.35">
      <c r="A676" s="2"/>
      <c r="B676" s="3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5.75" customHeight="1" x14ac:dyDescent="0.35">
      <c r="A677" s="2"/>
      <c r="B677" s="3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5.75" customHeight="1" x14ac:dyDescent="0.35">
      <c r="A678" s="2"/>
      <c r="B678" s="3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5.75" customHeight="1" x14ac:dyDescent="0.35">
      <c r="A679" s="2"/>
      <c r="B679" s="3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5.75" customHeight="1" x14ac:dyDescent="0.35">
      <c r="A680" s="2"/>
      <c r="B680" s="3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5.75" customHeight="1" x14ac:dyDescent="0.35">
      <c r="A681" s="2"/>
      <c r="B681" s="3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5.75" customHeight="1" x14ac:dyDescent="0.35">
      <c r="A682" s="2"/>
      <c r="B682" s="3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5.75" customHeight="1" x14ac:dyDescent="0.35">
      <c r="A683" s="2"/>
      <c r="B683" s="3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5.75" customHeight="1" x14ac:dyDescent="0.35">
      <c r="A684" s="2"/>
      <c r="B684" s="3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5.75" customHeight="1" x14ac:dyDescent="0.35">
      <c r="A685" s="2"/>
      <c r="B685" s="3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5.75" customHeight="1" x14ac:dyDescent="0.35">
      <c r="A686" s="2"/>
      <c r="B686" s="3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5.75" customHeight="1" x14ac:dyDescent="0.35">
      <c r="A687" s="2"/>
      <c r="B687" s="3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5.75" customHeight="1" x14ac:dyDescent="0.35">
      <c r="A688" s="2"/>
      <c r="B688" s="3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5.75" customHeight="1" x14ac:dyDescent="0.35">
      <c r="A689" s="2"/>
      <c r="B689" s="3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5.75" customHeight="1" x14ac:dyDescent="0.35">
      <c r="A690" s="2"/>
      <c r="B690" s="3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5.75" customHeight="1" x14ac:dyDescent="0.35">
      <c r="A691" s="2"/>
      <c r="B691" s="3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5.75" customHeight="1" x14ac:dyDescent="0.35">
      <c r="A692" s="2"/>
      <c r="B692" s="3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5.75" customHeight="1" x14ac:dyDescent="0.35">
      <c r="A693" s="2"/>
      <c r="B693" s="3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5.75" customHeight="1" x14ac:dyDescent="0.35">
      <c r="A694" s="2"/>
      <c r="B694" s="3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5.75" customHeight="1" x14ac:dyDescent="0.35">
      <c r="A695" s="2"/>
      <c r="B695" s="3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5.75" customHeight="1" x14ac:dyDescent="0.35">
      <c r="A696" s="2"/>
      <c r="B696" s="3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5.75" customHeight="1" x14ac:dyDescent="0.35">
      <c r="A697" s="2"/>
      <c r="B697" s="3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5.75" customHeight="1" x14ac:dyDescent="0.35">
      <c r="A698" s="2"/>
      <c r="B698" s="3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5.75" customHeight="1" x14ac:dyDescent="0.35">
      <c r="A699" s="2"/>
      <c r="B699" s="3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5.75" customHeight="1" x14ac:dyDescent="0.35">
      <c r="A700" s="2"/>
      <c r="B700" s="3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5.75" customHeight="1" x14ac:dyDescent="0.35">
      <c r="A701" s="2"/>
      <c r="B701" s="3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5.75" customHeight="1" x14ac:dyDescent="0.35">
      <c r="A702" s="2"/>
      <c r="B702" s="3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5.75" customHeight="1" x14ac:dyDescent="0.35">
      <c r="A703" s="2"/>
      <c r="B703" s="3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5.75" customHeight="1" x14ac:dyDescent="0.35">
      <c r="A704" s="2"/>
      <c r="B704" s="3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5.75" customHeight="1" x14ac:dyDescent="0.35">
      <c r="A705" s="2"/>
      <c r="B705" s="3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5.75" customHeight="1" x14ac:dyDescent="0.35">
      <c r="A706" s="2"/>
      <c r="B706" s="3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5.75" customHeight="1" x14ac:dyDescent="0.35">
      <c r="A707" s="2"/>
      <c r="B707" s="3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5.75" customHeight="1" x14ac:dyDescent="0.35">
      <c r="A708" s="2"/>
      <c r="B708" s="3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5.75" customHeight="1" x14ac:dyDescent="0.35">
      <c r="A709" s="2"/>
      <c r="B709" s="3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5.75" customHeight="1" x14ac:dyDescent="0.35">
      <c r="A710" s="2"/>
      <c r="B710" s="3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5.75" customHeight="1" x14ac:dyDescent="0.35">
      <c r="A711" s="2"/>
      <c r="B711" s="3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5.75" customHeight="1" x14ac:dyDescent="0.35">
      <c r="A712" s="2"/>
      <c r="B712" s="3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5.75" customHeight="1" x14ac:dyDescent="0.35">
      <c r="A713" s="2"/>
      <c r="B713" s="3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5.75" customHeight="1" x14ac:dyDescent="0.35">
      <c r="A714" s="2"/>
      <c r="B714" s="3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5.75" customHeight="1" x14ac:dyDescent="0.35">
      <c r="A715" s="2"/>
      <c r="B715" s="3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5.75" customHeight="1" x14ac:dyDescent="0.35">
      <c r="A716" s="2"/>
      <c r="B716" s="3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5.75" customHeight="1" x14ac:dyDescent="0.35">
      <c r="A717" s="2"/>
      <c r="B717" s="3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5.75" customHeight="1" x14ac:dyDescent="0.35">
      <c r="A718" s="2"/>
      <c r="B718" s="3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5.75" customHeight="1" x14ac:dyDescent="0.35">
      <c r="A719" s="2"/>
      <c r="B719" s="3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5.75" customHeight="1" x14ac:dyDescent="0.35">
      <c r="A720" s="2"/>
      <c r="B720" s="3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5.75" customHeight="1" x14ac:dyDescent="0.35">
      <c r="A721" s="2"/>
      <c r="B721" s="3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5.75" customHeight="1" x14ac:dyDescent="0.35">
      <c r="A722" s="2"/>
      <c r="B722" s="3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5.75" customHeight="1" x14ac:dyDescent="0.35">
      <c r="A723" s="2"/>
      <c r="B723" s="3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5.75" customHeight="1" x14ac:dyDescent="0.35">
      <c r="A724" s="2"/>
      <c r="B724" s="3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5.75" customHeight="1" x14ac:dyDescent="0.35">
      <c r="A725" s="2"/>
      <c r="B725" s="3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5.75" customHeight="1" x14ac:dyDescent="0.35">
      <c r="A726" s="2"/>
      <c r="B726" s="3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5.75" customHeight="1" x14ac:dyDescent="0.35">
      <c r="A727" s="2"/>
      <c r="B727" s="3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5.75" customHeight="1" x14ac:dyDescent="0.35">
      <c r="A728" s="2"/>
      <c r="B728" s="3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5.75" customHeight="1" x14ac:dyDescent="0.35">
      <c r="A729" s="2"/>
      <c r="B729" s="3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5.75" customHeight="1" x14ac:dyDescent="0.35">
      <c r="A730" s="2"/>
      <c r="B730" s="3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5.75" customHeight="1" x14ac:dyDescent="0.35">
      <c r="A731" s="2"/>
      <c r="B731" s="3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5.75" customHeight="1" x14ac:dyDescent="0.35">
      <c r="A732" s="2"/>
      <c r="B732" s="3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5.75" customHeight="1" x14ac:dyDescent="0.35">
      <c r="A733" s="2"/>
      <c r="B733" s="3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5.75" customHeight="1" x14ac:dyDescent="0.35">
      <c r="A734" s="2"/>
      <c r="B734" s="3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5.75" customHeight="1" x14ac:dyDescent="0.35">
      <c r="A735" s="2"/>
      <c r="B735" s="3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5.75" customHeight="1" x14ac:dyDescent="0.35">
      <c r="A736" s="2"/>
      <c r="B736" s="3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5.75" customHeight="1" x14ac:dyDescent="0.35">
      <c r="A737" s="2"/>
      <c r="B737" s="3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5.75" customHeight="1" x14ac:dyDescent="0.35">
      <c r="A738" s="2"/>
      <c r="B738" s="3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5.75" customHeight="1" x14ac:dyDescent="0.35">
      <c r="A739" s="2"/>
      <c r="B739" s="3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5.75" customHeight="1" x14ac:dyDescent="0.35">
      <c r="A740" s="2"/>
      <c r="B740" s="3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5.75" customHeight="1" x14ac:dyDescent="0.35">
      <c r="A741" s="2"/>
      <c r="B741" s="3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5.75" customHeight="1" x14ac:dyDescent="0.35">
      <c r="A742" s="2"/>
      <c r="B742" s="3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5.75" customHeight="1" x14ac:dyDescent="0.35">
      <c r="A743" s="2"/>
      <c r="B743" s="3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5.75" customHeight="1" x14ac:dyDescent="0.35">
      <c r="A744" s="2"/>
      <c r="B744" s="3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5.75" customHeight="1" x14ac:dyDescent="0.35">
      <c r="A745" s="2"/>
      <c r="B745" s="3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5.75" customHeight="1" x14ac:dyDescent="0.35">
      <c r="A746" s="2"/>
      <c r="B746" s="3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5.75" customHeight="1" x14ac:dyDescent="0.35">
      <c r="A747" s="2"/>
      <c r="B747" s="3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5.75" customHeight="1" x14ac:dyDescent="0.35">
      <c r="A748" s="2"/>
      <c r="B748" s="3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5.75" customHeight="1" x14ac:dyDescent="0.35">
      <c r="A749" s="2"/>
      <c r="B749" s="3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5.75" customHeight="1" x14ac:dyDescent="0.35">
      <c r="A750" s="2"/>
      <c r="B750" s="3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5.75" customHeight="1" x14ac:dyDescent="0.35">
      <c r="A751" s="2"/>
      <c r="B751" s="3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5.75" customHeight="1" x14ac:dyDescent="0.35">
      <c r="A752" s="2"/>
      <c r="B752" s="3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5.75" customHeight="1" x14ac:dyDescent="0.35">
      <c r="A753" s="2"/>
      <c r="B753" s="3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5.75" customHeight="1" x14ac:dyDescent="0.35">
      <c r="A754" s="2"/>
      <c r="B754" s="3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5.75" customHeight="1" x14ac:dyDescent="0.35">
      <c r="A755" s="2"/>
      <c r="B755" s="3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5.75" customHeight="1" x14ac:dyDescent="0.35">
      <c r="A756" s="2"/>
      <c r="B756" s="3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5.75" customHeight="1" x14ac:dyDescent="0.35">
      <c r="A757" s="2"/>
      <c r="B757" s="3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5.75" customHeight="1" x14ac:dyDescent="0.35">
      <c r="A758" s="2"/>
      <c r="B758" s="3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5.75" customHeight="1" x14ac:dyDescent="0.35">
      <c r="A759" s="2"/>
      <c r="B759" s="3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5.75" customHeight="1" x14ac:dyDescent="0.35">
      <c r="A760" s="2"/>
      <c r="B760" s="3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5.75" customHeight="1" x14ac:dyDescent="0.35">
      <c r="A761" s="2"/>
      <c r="B761" s="3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5.75" customHeight="1" x14ac:dyDescent="0.35">
      <c r="A762" s="2"/>
      <c r="B762" s="3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5.75" customHeight="1" x14ac:dyDescent="0.35">
      <c r="A763" s="2"/>
      <c r="B763" s="3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5.75" customHeight="1" x14ac:dyDescent="0.35">
      <c r="A764" s="2"/>
      <c r="B764" s="3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5.75" customHeight="1" x14ac:dyDescent="0.35">
      <c r="A765" s="2"/>
      <c r="B765" s="3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5.75" customHeight="1" x14ac:dyDescent="0.35">
      <c r="A766" s="2"/>
      <c r="B766" s="3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5.75" customHeight="1" x14ac:dyDescent="0.35">
      <c r="A767" s="2"/>
      <c r="B767" s="3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5.75" customHeight="1" x14ac:dyDescent="0.35">
      <c r="A768" s="2"/>
      <c r="B768" s="3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5.75" customHeight="1" x14ac:dyDescent="0.35">
      <c r="A769" s="2"/>
      <c r="B769" s="3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5.75" customHeight="1" x14ac:dyDescent="0.35">
      <c r="A770" s="2"/>
      <c r="B770" s="3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5.75" customHeight="1" x14ac:dyDescent="0.35">
      <c r="A771" s="2"/>
      <c r="B771" s="3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5.75" customHeight="1" x14ac:dyDescent="0.35">
      <c r="A772" s="2"/>
      <c r="B772" s="3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5.75" customHeight="1" x14ac:dyDescent="0.35">
      <c r="A773" s="2"/>
      <c r="B773" s="3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5.75" customHeight="1" x14ac:dyDescent="0.35">
      <c r="A774" s="2"/>
      <c r="B774" s="3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5.75" customHeight="1" x14ac:dyDescent="0.35">
      <c r="A775" s="2"/>
      <c r="B775" s="3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5.75" customHeight="1" x14ac:dyDescent="0.35">
      <c r="A776" s="2"/>
      <c r="B776" s="3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5.75" customHeight="1" x14ac:dyDescent="0.35">
      <c r="A777" s="2"/>
      <c r="B777" s="3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5.75" customHeight="1" x14ac:dyDescent="0.35">
      <c r="A778" s="2"/>
      <c r="B778" s="3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5.75" customHeight="1" x14ac:dyDescent="0.35">
      <c r="A779" s="2"/>
      <c r="B779" s="3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5.75" customHeight="1" x14ac:dyDescent="0.35">
      <c r="A780" s="2"/>
      <c r="B780" s="3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5.75" customHeight="1" x14ac:dyDescent="0.35">
      <c r="A781" s="2"/>
      <c r="B781" s="3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5.75" customHeight="1" x14ac:dyDescent="0.35">
      <c r="A782" s="2"/>
      <c r="B782" s="3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5.75" customHeight="1" x14ac:dyDescent="0.35">
      <c r="A783" s="2"/>
      <c r="B783" s="3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5.75" customHeight="1" x14ac:dyDescent="0.35">
      <c r="A784" s="2"/>
      <c r="B784" s="3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5.75" customHeight="1" x14ac:dyDescent="0.35">
      <c r="A785" s="2"/>
      <c r="B785" s="3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5.75" customHeight="1" x14ac:dyDescent="0.35">
      <c r="A786" s="2"/>
      <c r="B786" s="3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5.75" customHeight="1" x14ac:dyDescent="0.35">
      <c r="A787" s="2"/>
      <c r="B787" s="3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5.75" customHeight="1" x14ac:dyDescent="0.35">
      <c r="A788" s="2"/>
      <c r="B788" s="3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5.75" customHeight="1" x14ac:dyDescent="0.35">
      <c r="A789" s="2"/>
      <c r="B789" s="3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5.75" customHeight="1" x14ac:dyDescent="0.35">
      <c r="A790" s="2"/>
      <c r="B790" s="3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5.75" customHeight="1" x14ac:dyDescent="0.35">
      <c r="A791" s="2"/>
      <c r="B791" s="3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5.75" customHeight="1" x14ac:dyDescent="0.35">
      <c r="A792" s="2"/>
      <c r="B792" s="3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5.75" customHeight="1" x14ac:dyDescent="0.35">
      <c r="A793" s="2"/>
      <c r="B793" s="3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5.75" customHeight="1" x14ac:dyDescent="0.35">
      <c r="A794" s="2"/>
      <c r="B794" s="3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5.75" customHeight="1" x14ac:dyDescent="0.35">
      <c r="A795" s="2"/>
      <c r="B795" s="3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5.75" customHeight="1" x14ac:dyDescent="0.35">
      <c r="A796" s="2"/>
      <c r="B796" s="3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5.75" customHeight="1" x14ac:dyDescent="0.35">
      <c r="A797" s="2"/>
      <c r="B797" s="3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5.75" customHeight="1" x14ac:dyDescent="0.35">
      <c r="A798" s="2"/>
      <c r="B798" s="3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5.75" customHeight="1" x14ac:dyDescent="0.35">
      <c r="A799" s="2"/>
      <c r="B799" s="3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5.75" customHeight="1" x14ac:dyDescent="0.35">
      <c r="A800" s="2"/>
      <c r="B800" s="3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5.75" customHeight="1" x14ac:dyDescent="0.35">
      <c r="A801" s="2"/>
      <c r="B801" s="3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5.75" customHeight="1" x14ac:dyDescent="0.35">
      <c r="A802" s="2"/>
      <c r="B802" s="3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5.75" customHeight="1" x14ac:dyDescent="0.35">
      <c r="A803" s="2"/>
      <c r="B803" s="3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5.75" customHeight="1" x14ac:dyDescent="0.35">
      <c r="A804" s="2"/>
      <c r="B804" s="3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5.75" customHeight="1" x14ac:dyDescent="0.35">
      <c r="A805" s="2"/>
      <c r="B805" s="3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5.75" customHeight="1" x14ac:dyDescent="0.35">
      <c r="A806" s="2"/>
      <c r="B806" s="3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5.75" customHeight="1" x14ac:dyDescent="0.35">
      <c r="A807" s="2"/>
      <c r="B807" s="3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5.75" customHeight="1" x14ac:dyDescent="0.35">
      <c r="A808" s="2"/>
      <c r="B808" s="3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5.75" customHeight="1" x14ac:dyDescent="0.35">
      <c r="A809" s="2"/>
      <c r="B809" s="3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5.75" customHeight="1" x14ac:dyDescent="0.35">
      <c r="A810" s="2"/>
      <c r="B810" s="3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5.75" customHeight="1" x14ac:dyDescent="0.35">
      <c r="A811" s="2"/>
      <c r="B811" s="3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5.75" customHeight="1" x14ac:dyDescent="0.35">
      <c r="A812" s="2"/>
      <c r="B812" s="3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5.75" customHeight="1" x14ac:dyDescent="0.35">
      <c r="A813" s="2"/>
      <c r="B813" s="3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5.75" customHeight="1" x14ac:dyDescent="0.35">
      <c r="A814" s="2"/>
      <c r="B814" s="3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5.75" customHeight="1" x14ac:dyDescent="0.35">
      <c r="A815" s="2"/>
      <c r="B815" s="3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5.75" customHeight="1" x14ac:dyDescent="0.35">
      <c r="A816" s="2"/>
      <c r="B816" s="3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5.75" customHeight="1" x14ac:dyDescent="0.35">
      <c r="A817" s="2"/>
      <c r="B817" s="3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5.75" customHeight="1" x14ac:dyDescent="0.35">
      <c r="A818" s="2"/>
      <c r="B818" s="3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5.75" customHeight="1" x14ac:dyDescent="0.35">
      <c r="A819" s="2"/>
      <c r="B819" s="3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5.75" customHeight="1" x14ac:dyDescent="0.35">
      <c r="A820" s="2"/>
      <c r="B820" s="3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5.75" customHeight="1" x14ac:dyDescent="0.35">
      <c r="A821" s="2"/>
      <c r="B821" s="3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5.75" customHeight="1" x14ac:dyDescent="0.35">
      <c r="A822" s="2"/>
      <c r="B822" s="3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5.75" customHeight="1" x14ac:dyDescent="0.35">
      <c r="A823" s="2"/>
      <c r="B823" s="3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5.75" customHeight="1" x14ac:dyDescent="0.35">
      <c r="A824" s="2"/>
      <c r="B824" s="3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5.75" customHeight="1" x14ac:dyDescent="0.35">
      <c r="A825" s="2"/>
      <c r="B825" s="3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5.75" customHeight="1" x14ac:dyDescent="0.35">
      <c r="A826" s="2"/>
      <c r="B826" s="3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5.75" customHeight="1" x14ac:dyDescent="0.35">
      <c r="A827" s="2"/>
      <c r="B827" s="3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5.75" customHeight="1" x14ac:dyDescent="0.35">
      <c r="A828" s="2"/>
      <c r="B828" s="3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5.75" customHeight="1" x14ac:dyDescent="0.35">
      <c r="A829" s="2"/>
      <c r="B829" s="3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5.75" customHeight="1" x14ac:dyDescent="0.35">
      <c r="A830" s="2"/>
      <c r="B830" s="3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5.75" customHeight="1" x14ac:dyDescent="0.35">
      <c r="A831" s="2"/>
      <c r="B831" s="3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5.75" customHeight="1" x14ac:dyDescent="0.35">
      <c r="A832" s="2"/>
      <c r="B832" s="3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5.75" customHeight="1" x14ac:dyDescent="0.35">
      <c r="A833" s="2"/>
      <c r="B833" s="3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5.75" customHeight="1" x14ac:dyDescent="0.35">
      <c r="A834" s="2"/>
      <c r="B834" s="3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5.75" customHeight="1" x14ac:dyDescent="0.35">
      <c r="A835" s="2"/>
      <c r="B835" s="3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5.75" customHeight="1" x14ac:dyDescent="0.35">
      <c r="A836" s="2"/>
      <c r="B836" s="3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5.75" customHeight="1" x14ac:dyDescent="0.35">
      <c r="A837" s="2"/>
      <c r="B837" s="3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5.75" customHeight="1" x14ac:dyDescent="0.35">
      <c r="A838" s="2"/>
      <c r="B838" s="3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5.75" customHeight="1" x14ac:dyDescent="0.35">
      <c r="A839" s="2"/>
      <c r="B839" s="3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5.75" customHeight="1" x14ac:dyDescent="0.35">
      <c r="A840" s="2"/>
      <c r="B840" s="3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5.75" customHeight="1" x14ac:dyDescent="0.35">
      <c r="A841" s="2"/>
      <c r="B841" s="3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5.75" customHeight="1" x14ac:dyDescent="0.35">
      <c r="A842" s="2"/>
      <c r="B842" s="3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5.75" customHeight="1" x14ac:dyDescent="0.35">
      <c r="A843" s="2"/>
      <c r="B843" s="3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5.75" customHeight="1" x14ac:dyDescent="0.35">
      <c r="A844" s="2"/>
      <c r="B844" s="3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5.75" customHeight="1" x14ac:dyDescent="0.35">
      <c r="A845" s="2"/>
      <c r="B845" s="3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5.75" customHeight="1" x14ac:dyDescent="0.35">
      <c r="A846" s="2"/>
      <c r="B846" s="3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5.75" customHeight="1" x14ac:dyDescent="0.35">
      <c r="A847" s="2"/>
      <c r="B847" s="3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5.75" customHeight="1" x14ac:dyDescent="0.35">
      <c r="A848" s="2"/>
      <c r="B848" s="3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5.75" customHeight="1" x14ac:dyDescent="0.35">
      <c r="A849" s="2"/>
      <c r="B849" s="3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5.75" customHeight="1" x14ac:dyDescent="0.35">
      <c r="A850" s="2"/>
      <c r="B850" s="3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5.75" customHeight="1" x14ac:dyDescent="0.35">
      <c r="A851" s="2"/>
      <c r="B851" s="3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5.75" customHeight="1" x14ac:dyDescent="0.35">
      <c r="A852" s="2"/>
      <c r="B852" s="3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5.75" customHeight="1" x14ac:dyDescent="0.35">
      <c r="A853" s="2"/>
      <c r="B853" s="3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5.75" customHeight="1" x14ac:dyDescent="0.35">
      <c r="A854" s="2"/>
      <c r="B854" s="3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5.75" customHeight="1" x14ac:dyDescent="0.35">
      <c r="A855" s="2"/>
      <c r="B855" s="3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5.75" customHeight="1" x14ac:dyDescent="0.35">
      <c r="A856" s="2"/>
      <c r="B856" s="3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5.75" customHeight="1" x14ac:dyDescent="0.35">
      <c r="A857" s="2"/>
      <c r="B857" s="3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5.75" customHeight="1" x14ac:dyDescent="0.35">
      <c r="A858" s="2"/>
      <c r="B858" s="3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5.75" customHeight="1" x14ac:dyDescent="0.35">
      <c r="A859" s="2"/>
      <c r="B859" s="3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5.75" customHeight="1" x14ac:dyDescent="0.35">
      <c r="A860" s="2"/>
      <c r="B860" s="3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5.75" customHeight="1" x14ac:dyDescent="0.35">
      <c r="A861" s="2"/>
      <c r="B861" s="3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5.75" customHeight="1" x14ac:dyDescent="0.35">
      <c r="A862" s="2"/>
      <c r="B862" s="3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5.75" customHeight="1" x14ac:dyDescent="0.35">
      <c r="A863" s="2"/>
      <c r="B863" s="3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5.75" customHeight="1" x14ac:dyDescent="0.35">
      <c r="A864" s="2"/>
      <c r="B864" s="3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5.75" customHeight="1" x14ac:dyDescent="0.35">
      <c r="A865" s="2"/>
      <c r="B865" s="3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5.75" customHeight="1" x14ac:dyDescent="0.35">
      <c r="A866" s="2"/>
      <c r="B866" s="3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5.75" customHeight="1" x14ac:dyDescent="0.35">
      <c r="A867" s="2"/>
      <c r="B867" s="3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5.75" customHeight="1" x14ac:dyDescent="0.35">
      <c r="A868" s="2"/>
      <c r="B868" s="3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5.75" customHeight="1" x14ac:dyDescent="0.35">
      <c r="A869" s="2"/>
      <c r="B869" s="3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5.75" customHeight="1" x14ac:dyDescent="0.35">
      <c r="A870" s="2"/>
      <c r="B870" s="3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5.75" customHeight="1" x14ac:dyDescent="0.35">
      <c r="A871" s="2"/>
      <c r="B871" s="3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5.75" customHeight="1" x14ac:dyDescent="0.35">
      <c r="A872" s="2"/>
      <c r="B872" s="3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5.75" customHeight="1" x14ac:dyDescent="0.35">
      <c r="A873" s="2"/>
      <c r="B873" s="3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5.75" customHeight="1" x14ac:dyDescent="0.35">
      <c r="A874" s="2"/>
      <c r="B874" s="3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5.75" customHeight="1" x14ac:dyDescent="0.35">
      <c r="A875" s="2"/>
      <c r="B875" s="3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5.75" customHeight="1" x14ac:dyDescent="0.35">
      <c r="A876" s="2"/>
      <c r="B876" s="3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5.75" customHeight="1" x14ac:dyDescent="0.35">
      <c r="A877" s="2"/>
      <c r="B877" s="3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5.75" customHeight="1" x14ac:dyDescent="0.35">
      <c r="A878" s="2"/>
      <c r="B878" s="3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5.75" customHeight="1" x14ac:dyDescent="0.35">
      <c r="A879" s="2"/>
      <c r="B879" s="3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5.75" customHeight="1" x14ac:dyDescent="0.35">
      <c r="A880" s="2"/>
      <c r="B880" s="3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5.75" customHeight="1" x14ac:dyDescent="0.35">
      <c r="A881" s="2"/>
      <c r="B881" s="3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5.75" customHeight="1" x14ac:dyDescent="0.35">
      <c r="A882" s="2"/>
      <c r="B882" s="3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5.75" customHeight="1" x14ac:dyDescent="0.35">
      <c r="A883" s="2"/>
      <c r="B883" s="3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5.75" customHeight="1" x14ac:dyDescent="0.35">
      <c r="A884" s="2"/>
      <c r="B884" s="3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5.75" customHeight="1" x14ac:dyDescent="0.35">
      <c r="A885" s="2"/>
      <c r="B885" s="3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5.75" customHeight="1" x14ac:dyDescent="0.35">
      <c r="A886" s="2"/>
      <c r="B886" s="3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5.75" customHeight="1" x14ac:dyDescent="0.35">
      <c r="A887" s="2"/>
      <c r="B887" s="3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5.75" customHeight="1" x14ac:dyDescent="0.35">
      <c r="A888" s="2"/>
      <c r="B888" s="3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5.75" customHeight="1" x14ac:dyDescent="0.35">
      <c r="A889" s="2"/>
      <c r="B889" s="3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5.75" customHeight="1" x14ac:dyDescent="0.35">
      <c r="A890" s="2"/>
      <c r="B890" s="3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5.75" customHeight="1" x14ac:dyDescent="0.35">
      <c r="A891" s="2"/>
      <c r="B891" s="3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5.75" customHeight="1" x14ac:dyDescent="0.35">
      <c r="A892" s="2"/>
      <c r="B892" s="3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5.75" customHeight="1" x14ac:dyDescent="0.35">
      <c r="A893" s="2"/>
      <c r="B893" s="3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5.75" customHeight="1" x14ac:dyDescent="0.35">
      <c r="A894" s="2"/>
      <c r="B894" s="3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5.75" customHeight="1" x14ac:dyDescent="0.35">
      <c r="A895" s="2"/>
      <c r="B895" s="3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5.75" customHeight="1" x14ac:dyDescent="0.35">
      <c r="A896" s="2"/>
      <c r="B896" s="3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5.75" customHeight="1" x14ac:dyDescent="0.35">
      <c r="A897" s="2"/>
      <c r="B897" s="3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5.75" customHeight="1" x14ac:dyDescent="0.35">
      <c r="A898" s="2"/>
      <c r="B898" s="3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5.75" customHeight="1" x14ac:dyDescent="0.35">
      <c r="A899" s="2"/>
      <c r="B899" s="3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5.75" customHeight="1" x14ac:dyDescent="0.35">
      <c r="A900" s="2"/>
      <c r="B900" s="3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5.75" customHeight="1" x14ac:dyDescent="0.35">
      <c r="A901" s="2"/>
      <c r="B901" s="3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5.75" customHeight="1" x14ac:dyDescent="0.35">
      <c r="A902" s="2"/>
      <c r="B902" s="3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5.75" customHeight="1" x14ac:dyDescent="0.35">
      <c r="A903" s="2"/>
      <c r="B903" s="3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5.75" customHeight="1" x14ac:dyDescent="0.35">
      <c r="A904" s="2"/>
      <c r="B904" s="3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5.75" customHeight="1" x14ac:dyDescent="0.35">
      <c r="A905" s="2"/>
      <c r="B905" s="3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5.75" customHeight="1" x14ac:dyDescent="0.35">
      <c r="A906" s="2"/>
      <c r="B906" s="3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5.75" customHeight="1" x14ac:dyDescent="0.35">
      <c r="A907" s="2"/>
      <c r="B907" s="3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5.75" customHeight="1" x14ac:dyDescent="0.35">
      <c r="A908" s="2"/>
      <c r="B908" s="3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5.75" customHeight="1" x14ac:dyDescent="0.35">
      <c r="A909" s="2"/>
      <c r="B909" s="3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5.75" customHeight="1" x14ac:dyDescent="0.35">
      <c r="A910" s="2"/>
      <c r="B910" s="3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5.75" customHeight="1" x14ac:dyDescent="0.35">
      <c r="A911" s="2"/>
      <c r="B911" s="3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5.75" customHeight="1" x14ac:dyDescent="0.35">
      <c r="A912" s="2"/>
      <c r="B912" s="3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5.75" customHeight="1" x14ac:dyDescent="0.35">
      <c r="A913" s="2"/>
      <c r="B913" s="3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5.75" customHeight="1" x14ac:dyDescent="0.35">
      <c r="A914" s="2"/>
      <c r="B914" s="3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5.75" customHeight="1" x14ac:dyDescent="0.35">
      <c r="A915" s="2"/>
      <c r="B915" s="3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5.75" customHeight="1" x14ac:dyDescent="0.35">
      <c r="A916" s="2"/>
      <c r="B916" s="3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5.75" customHeight="1" x14ac:dyDescent="0.35">
      <c r="A917" s="2"/>
      <c r="B917" s="3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5.75" customHeight="1" x14ac:dyDescent="0.35">
      <c r="A918" s="2"/>
      <c r="B918" s="3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5.75" customHeight="1" x14ac:dyDescent="0.35">
      <c r="A919" s="2"/>
      <c r="B919" s="3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5.75" customHeight="1" x14ac:dyDescent="0.35">
      <c r="A920" s="2"/>
      <c r="B920" s="3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5.75" customHeight="1" x14ac:dyDescent="0.35">
      <c r="A921" s="2"/>
      <c r="B921" s="3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5.75" customHeight="1" x14ac:dyDescent="0.35">
      <c r="A922" s="2"/>
      <c r="B922" s="3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5.75" customHeight="1" x14ac:dyDescent="0.35">
      <c r="A923" s="2"/>
      <c r="B923" s="3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5.75" customHeight="1" x14ac:dyDescent="0.35">
      <c r="A924" s="2"/>
      <c r="B924" s="3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5.75" customHeight="1" x14ac:dyDescent="0.35">
      <c r="A925" s="2"/>
      <c r="B925" s="3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5.75" customHeight="1" x14ac:dyDescent="0.35">
      <c r="A926" s="2"/>
      <c r="B926" s="3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5.75" customHeight="1" x14ac:dyDescent="0.35">
      <c r="A927" s="2"/>
      <c r="B927" s="3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5.75" customHeight="1" x14ac:dyDescent="0.35">
      <c r="A928" s="2"/>
      <c r="B928" s="3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5.75" customHeight="1" x14ac:dyDescent="0.35">
      <c r="A929" s="2"/>
      <c r="B929" s="3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5.75" customHeight="1" x14ac:dyDescent="0.35">
      <c r="A930" s="2"/>
      <c r="B930" s="3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5.75" customHeight="1" x14ac:dyDescent="0.35">
      <c r="A931" s="2"/>
      <c r="B931" s="3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5.75" customHeight="1" x14ac:dyDescent="0.35">
      <c r="A932" s="2"/>
      <c r="B932" s="3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5.75" customHeight="1" x14ac:dyDescent="0.35">
      <c r="A933" s="2"/>
      <c r="B933" s="3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5.75" customHeight="1" x14ac:dyDescent="0.35">
      <c r="A934" s="2"/>
      <c r="B934" s="3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5.75" customHeight="1" x14ac:dyDescent="0.35">
      <c r="A935" s="2"/>
      <c r="B935" s="3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5.75" customHeight="1" x14ac:dyDescent="0.35">
      <c r="A936" s="2"/>
      <c r="B936" s="3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5.75" customHeight="1" x14ac:dyDescent="0.35">
      <c r="A937" s="2"/>
      <c r="B937" s="3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5.75" customHeight="1" x14ac:dyDescent="0.35">
      <c r="A938" s="2"/>
      <c r="B938" s="3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5.75" customHeight="1" x14ac:dyDescent="0.35">
      <c r="A939" s="2"/>
      <c r="B939" s="3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5.75" customHeight="1" x14ac:dyDescent="0.35">
      <c r="A940" s="2"/>
      <c r="B940" s="3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5.75" customHeight="1" x14ac:dyDescent="0.35">
      <c r="A941" s="2"/>
      <c r="B941" s="3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5.75" customHeight="1" x14ac:dyDescent="0.35">
      <c r="A942" s="2"/>
      <c r="B942" s="3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5.75" customHeight="1" x14ac:dyDescent="0.35">
      <c r="A943" s="2"/>
      <c r="B943" s="3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5.75" customHeight="1" x14ac:dyDescent="0.35">
      <c r="A944" s="2"/>
      <c r="B944" s="3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5.75" customHeight="1" x14ac:dyDescent="0.35">
      <c r="A945" s="2"/>
      <c r="B945" s="3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5.75" customHeight="1" x14ac:dyDescent="0.35">
      <c r="A946" s="2"/>
      <c r="B946" s="3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5.75" customHeight="1" x14ac:dyDescent="0.35">
      <c r="A947" s="2"/>
      <c r="B947" s="3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5.75" customHeight="1" x14ac:dyDescent="0.35">
      <c r="A948" s="2"/>
      <c r="B948" s="3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5.75" customHeight="1" x14ac:dyDescent="0.35">
      <c r="A949" s="2"/>
      <c r="B949" s="3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5.75" customHeight="1" x14ac:dyDescent="0.35">
      <c r="A950" s="2"/>
      <c r="B950" s="3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5.75" customHeight="1" x14ac:dyDescent="0.35">
      <c r="A951" s="2"/>
      <c r="B951" s="3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5.75" customHeight="1" x14ac:dyDescent="0.35">
      <c r="A952" s="2"/>
      <c r="B952" s="3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5.75" customHeight="1" x14ac:dyDescent="0.35">
      <c r="A953" s="2"/>
      <c r="B953" s="3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5.75" customHeight="1" x14ac:dyDescent="0.35">
      <c r="A954" s="2"/>
      <c r="B954" s="3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5.75" customHeight="1" x14ac:dyDescent="0.35">
      <c r="A955" s="2"/>
      <c r="B955" s="3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5.75" customHeight="1" x14ac:dyDescent="0.35">
      <c r="A956" s="2"/>
      <c r="B956" s="3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5.75" customHeight="1" x14ac:dyDescent="0.35">
      <c r="A957" s="2"/>
      <c r="B957" s="3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5.75" customHeight="1" x14ac:dyDescent="0.35">
      <c r="A958" s="2"/>
      <c r="B958" s="3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5.75" customHeight="1" x14ac:dyDescent="0.35">
      <c r="A959" s="2"/>
      <c r="B959" s="3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5.75" customHeight="1" x14ac:dyDescent="0.35">
      <c r="A960" s="2"/>
      <c r="B960" s="3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5.75" customHeight="1" x14ac:dyDescent="0.35">
      <c r="A961" s="2"/>
      <c r="B961" s="3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5.75" customHeight="1" x14ac:dyDescent="0.35">
      <c r="A962" s="2"/>
      <c r="B962" s="3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5.75" customHeight="1" x14ac:dyDescent="0.35">
      <c r="A963" s="2"/>
      <c r="B963" s="3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5.75" customHeight="1" x14ac:dyDescent="0.35">
      <c r="A964" s="2"/>
      <c r="B964" s="3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5.75" customHeight="1" x14ac:dyDescent="0.35">
      <c r="A965" s="2"/>
      <c r="B965" s="3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5.75" customHeight="1" x14ac:dyDescent="0.35">
      <c r="A966" s="2"/>
      <c r="B966" s="3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5.75" customHeight="1" x14ac:dyDescent="0.35">
      <c r="A967" s="2"/>
      <c r="B967" s="3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5.75" customHeight="1" x14ac:dyDescent="0.35">
      <c r="A968" s="2"/>
      <c r="B968" s="3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5.75" customHeight="1" x14ac:dyDescent="0.35">
      <c r="A969" s="2"/>
      <c r="B969" s="3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5.75" customHeight="1" x14ac:dyDescent="0.35">
      <c r="A970" s="2"/>
      <c r="B970" s="3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5.75" customHeight="1" x14ac:dyDescent="0.35">
      <c r="A971" s="2"/>
      <c r="B971" s="3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5.75" customHeight="1" x14ac:dyDescent="0.35">
      <c r="A972" s="2"/>
      <c r="B972" s="3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5.75" customHeight="1" x14ac:dyDescent="0.35">
      <c r="A973" s="2"/>
      <c r="B973" s="3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5.75" customHeight="1" x14ac:dyDescent="0.35">
      <c r="A974" s="2"/>
      <c r="B974" s="3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5.75" customHeight="1" x14ac:dyDescent="0.35">
      <c r="A975" s="2"/>
      <c r="B975" s="3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5.75" customHeight="1" x14ac:dyDescent="0.35">
      <c r="A976" s="2"/>
      <c r="B976" s="3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5.75" customHeight="1" x14ac:dyDescent="0.35">
      <c r="A977" s="2"/>
      <c r="B977" s="3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5.75" customHeight="1" x14ac:dyDescent="0.35">
      <c r="A978" s="2"/>
      <c r="B978" s="3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5.75" customHeight="1" x14ac:dyDescent="0.35">
      <c r="A979" s="2"/>
      <c r="B979" s="3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5.75" customHeight="1" x14ac:dyDescent="0.35">
      <c r="A980" s="2"/>
      <c r="B980" s="3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5.75" customHeight="1" x14ac:dyDescent="0.35">
      <c r="A981" s="2"/>
      <c r="B981" s="3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5.75" customHeight="1" x14ac:dyDescent="0.35">
      <c r="A982" s="2"/>
      <c r="B982" s="3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5.75" customHeight="1" x14ac:dyDescent="0.35">
      <c r="A983" s="2"/>
      <c r="B983" s="3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5.75" customHeight="1" x14ac:dyDescent="0.35">
      <c r="A984" s="2"/>
      <c r="B984" s="3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5.75" customHeight="1" x14ac:dyDescent="0.35">
      <c r="A985" s="2"/>
      <c r="B985" s="3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5.75" customHeight="1" x14ac:dyDescent="0.35">
      <c r="A986" s="2"/>
      <c r="B986" s="3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5.75" customHeight="1" x14ac:dyDescent="0.35">
      <c r="A987" s="2"/>
      <c r="B987" s="3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5.75" customHeight="1" x14ac:dyDescent="0.35">
      <c r="A988" s="2"/>
      <c r="B988" s="3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5.75" customHeight="1" x14ac:dyDescent="0.35">
      <c r="A989" s="2"/>
      <c r="B989" s="3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5.75" customHeight="1" x14ac:dyDescent="0.35">
      <c r="A990" s="2"/>
      <c r="B990" s="3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5.75" customHeight="1" x14ac:dyDescent="0.35">
      <c r="A991" s="2"/>
      <c r="B991" s="3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5.75" customHeight="1" x14ac:dyDescent="0.35">
      <c r="A992" s="2"/>
      <c r="B992" s="3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5.75" customHeight="1" x14ac:dyDescent="0.35">
      <c r="A993" s="2"/>
      <c r="B993" s="3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5.75" customHeight="1" x14ac:dyDescent="0.35">
      <c r="A994" s="2"/>
      <c r="B994" s="3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5.75" customHeight="1" x14ac:dyDescent="0.35">
      <c r="A995" s="2"/>
      <c r="B995" s="3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5.75" customHeight="1" x14ac:dyDescent="0.35">
      <c r="A996" s="2"/>
      <c r="B996" s="3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5.75" customHeight="1" x14ac:dyDescent="0.35">
      <c r="A997" s="2"/>
      <c r="B997" s="3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5.75" customHeight="1" x14ac:dyDescent="0.35">
      <c r="A998" s="2"/>
      <c r="B998" s="3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5.75" customHeight="1" x14ac:dyDescent="0.35">
      <c r="A999" s="2"/>
      <c r="B999" s="3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5.75" customHeight="1" x14ac:dyDescent="0.35">
      <c r="A1000" s="2"/>
      <c r="B1000" s="3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</sheetData>
  <autoFilter ref="A1:S136" xr:uid="{00000000-0001-0000-0100-000000000000}">
    <filterColumn colId="18">
      <filters>
        <filter val="Africa"/>
      </filters>
    </filterColumn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Q1000"/>
  <sheetViews>
    <sheetView tabSelected="1" workbookViewId="0">
      <selection activeCell="B14" sqref="B14"/>
    </sheetView>
  </sheetViews>
  <sheetFormatPr defaultColWidth="14.453125" defaultRowHeight="15" customHeight="1" x14ac:dyDescent="0.35"/>
  <cols>
    <col min="1" max="1" width="5.7265625" customWidth="1"/>
    <col min="2" max="2" width="30.7265625" customWidth="1"/>
    <col min="3" max="3" width="7.7265625" customWidth="1"/>
    <col min="4" max="4" width="9.7265625" customWidth="1"/>
    <col min="5" max="5" width="15.7265625" customWidth="1"/>
    <col min="6" max="6" width="17.7265625" customWidth="1"/>
    <col min="7" max="7" width="33.7265625" customWidth="1"/>
    <col min="8" max="9" width="31.7265625" customWidth="1"/>
    <col min="10" max="10" width="33.7265625" customWidth="1"/>
    <col min="11" max="11" width="20.7265625" customWidth="1"/>
    <col min="12" max="12" width="18.7265625" customWidth="1"/>
    <col min="13" max="13" width="37.7265625" customWidth="1"/>
    <col min="14" max="14" width="11.7265625" customWidth="1"/>
    <col min="15" max="15" width="19.7265625" customWidth="1"/>
    <col min="16" max="16" width="28.7265625" customWidth="1"/>
    <col min="17" max="17" width="18.7265625" customWidth="1"/>
    <col min="18" max="18" width="42.7265625" customWidth="1"/>
    <col min="19" max="19" width="32.7265625" customWidth="1"/>
    <col min="20" max="20" width="51.7265625" customWidth="1"/>
    <col min="21" max="21" width="18.7265625" customWidth="1"/>
    <col min="22" max="22" width="51.7265625" customWidth="1"/>
    <col min="23" max="23" width="53.7265625" customWidth="1"/>
    <col min="24" max="24" width="45.7265625" customWidth="1"/>
    <col min="25" max="25" width="44.7265625" customWidth="1"/>
    <col min="26" max="26" width="67.7265625" customWidth="1"/>
    <col min="27" max="27" width="21.7265625" customWidth="1"/>
    <col min="28" max="28" width="20.7265625" customWidth="1"/>
    <col min="29" max="29" width="29.7265625" customWidth="1"/>
    <col min="30" max="30" width="23.7265625" customWidth="1"/>
    <col min="31" max="31" width="11.7265625" customWidth="1"/>
    <col min="32" max="32" width="19.7265625" customWidth="1"/>
    <col min="33" max="33" width="24.7265625" customWidth="1"/>
    <col min="34" max="34" width="13.7265625" customWidth="1"/>
    <col min="35" max="35" width="27.7265625" customWidth="1"/>
    <col min="36" max="36" width="23.7265625" customWidth="1"/>
    <col min="37" max="37" width="19.7265625" customWidth="1"/>
    <col min="38" max="38" width="12.7265625" customWidth="1"/>
    <col min="39" max="39" width="28.7265625" customWidth="1"/>
    <col min="40" max="40" width="23.7265625" customWidth="1"/>
    <col min="41" max="41" width="28.7265625" customWidth="1"/>
    <col min="42" max="42" width="12.7265625" customWidth="1"/>
  </cols>
  <sheetData>
    <row r="1" spans="1:43" ht="14.5" x14ac:dyDescent="0.35">
      <c r="A1" s="6" t="s">
        <v>1</v>
      </c>
      <c r="B1" s="6" t="s">
        <v>2</v>
      </c>
      <c r="C1" s="6" t="s">
        <v>4</v>
      </c>
      <c r="D1" s="6" t="s">
        <v>5</v>
      </c>
      <c r="E1" s="6" t="s">
        <v>309</v>
      </c>
      <c r="F1" s="6" t="s">
        <v>310</v>
      </c>
      <c r="G1" s="6" t="s">
        <v>311</v>
      </c>
      <c r="H1" s="6" t="s">
        <v>312</v>
      </c>
      <c r="I1" s="6" t="s">
        <v>313</v>
      </c>
      <c r="J1" s="6" t="s">
        <v>314</v>
      </c>
      <c r="K1" s="6" t="s">
        <v>315</v>
      </c>
      <c r="L1" s="6" t="s">
        <v>316</v>
      </c>
      <c r="M1" s="6" t="s">
        <v>317</v>
      </c>
      <c r="N1" s="6" t="s">
        <v>318</v>
      </c>
      <c r="O1" s="6" t="s">
        <v>319</v>
      </c>
      <c r="P1" s="6" t="s">
        <v>320</v>
      </c>
      <c r="Q1" s="6" t="s">
        <v>321</v>
      </c>
      <c r="R1" s="6" t="s">
        <v>322</v>
      </c>
      <c r="S1" s="6" t="s">
        <v>323</v>
      </c>
      <c r="T1" s="6" t="s">
        <v>324</v>
      </c>
      <c r="U1" s="6" t="s">
        <v>325</v>
      </c>
      <c r="V1" s="6" t="s">
        <v>326</v>
      </c>
      <c r="W1" s="6" t="s">
        <v>327</v>
      </c>
      <c r="X1" s="6" t="s">
        <v>328</v>
      </c>
      <c r="Y1" s="6" t="s">
        <v>329</v>
      </c>
      <c r="Z1" s="6" t="s">
        <v>330</v>
      </c>
      <c r="AA1" s="6" t="s">
        <v>331</v>
      </c>
      <c r="AB1" s="6" t="s">
        <v>332</v>
      </c>
      <c r="AC1" s="6" t="s">
        <v>333</v>
      </c>
      <c r="AD1" s="6" t="s">
        <v>334</v>
      </c>
      <c r="AE1" s="6" t="s">
        <v>335</v>
      </c>
      <c r="AF1" s="6" t="s">
        <v>336</v>
      </c>
      <c r="AG1" s="6" t="s">
        <v>337</v>
      </c>
      <c r="AH1" s="6" t="s">
        <v>338</v>
      </c>
      <c r="AI1" s="6" t="s">
        <v>339</v>
      </c>
      <c r="AJ1" s="6" t="s">
        <v>340</v>
      </c>
      <c r="AK1" s="6" t="s">
        <v>341</v>
      </c>
      <c r="AL1" s="6" t="s">
        <v>342</v>
      </c>
      <c r="AM1" s="6" t="s">
        <v>343</v>
      </c>
      <c r="AN1" s="6" t="s">
        <v>344</v>
      </c>
      <c r="AO1" s="6" t="s">
        <v>345</v>
      </c>
      <c r="AP1" s="6" t="s">
        <v>346</v>
      </c>
      <c r="AQ1" s="12" t="s">
        <v>375</v>
      </c>
    </row>
    <row r="2" spans="1:43" ht="14.5" hidden="1" x14ac:dyDescent="0.35">
      <c r="A2" s="3" t="s">
        <v>290</v>
      </c>
      <c r="B2" s="4" t="s">
        <v>291</v>
      </c>
      <c r="C2" s="5">
        <v>6.02</v>
      </c>
      <c r="D2" s="5">
        <v>6.02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15.51</v>
      </c>
      <c r="AC2" s="5">
        <v>21.43</v>
      </c>
      <c r="AD2" s="5">
        <v>86.87</v>
      </c>
      <c r="AE2" s="5">
        <v>6.5</v>
      </c>
      <c r="AF2" s="5">
        <v>20.53</v>
      </c>
      <c r="AG2" s="5">
        <v>7.64</v>
      </c>
      <c r="AH2" s="5">
        <v>14.34</v>
      </c>
      <c r="AI2" s="5">
        <v>0</v>
      </c>
      <c r="AJ2" s="5">
        <v>0</v>
      </c>
      <c r="AK2" s="5">
        <v>55.3</v>
      </c>
      <c r="AL2" s="5">
        <v>9.43</v>
      </c>
      <c r="AM2" s="5">
        <v>0</v>
      </c>
      <c r="AN2" s="5">
        <v>25.58</v>
      </c>
      <c r="AO2" s="5">
        <v>8.89</v>
      </c>
      <c r="AP2" s="5">
        <v>1</v>
      </c>
      <c r="AQ2" t="str">
        <f>IF(COUNTIF([1]Country_Classifications!$B$2:$B$40, $A2)&gt;0, "Africa", "Others")</f>
        <v>Others</v>
      </c>
    </row>
    <row r="3" spans="1:43" ht="14.5" x14ac:dyDescent="0.35">
      <c r="A3" s="3" t="s">
        <v>226</v>
      </c>
      <c r="B3" s="4" t="s">
        <v>227</v>
      </c>
      <c r="C3" s="5">
        <v>19.41</v>
      </c>
      <c r="D3" s="5">
        <v>19.41</v>
      </c>
      <c r="E3" s="5">
        <v>0</v>
      </c>
      <c r="F3" s="5">
        <v>0</v>
      </c>
      <c r="G3" s="5">
        <v>0</v>
      </c>
      <c r="H3" s="5">
        <v>12.27</v>
      </c>
      <c r="I3" s="5">
        <v>0</v>
      </c>
      <c r="J3" s="5">
        <v>18.64</v>
      </c>
      <c r="K3" s="5">
        <v>0</v>
      </c>
      <c r="L3" s="5">
        <v>0</v>
      </c>
      <c r="M3" s="5">
        <v>18.18</v>
      </c>
      <c r="N3" s="5">
        <v>9.09</v>
      </c>
      <c r="O3" s="5">
        <v>10.23</v>
      </c>
      <c r="P3" s="5">
        <v>8.86</v>
      </c>
      <c r="Q3" s="5">
        <v>9.5500000000000007</v>
      </c>
      <c r="R3" s="5">
        <v>9.7200000000000006</v>
      </c>
      <c r="S3" s="5">
        <v>49.24</v>
      </c>
      <c r="T3" s="5">
        <v>0</v>
      </c>
      <c r="U3" s="5">
        <v>0</v>
      </c>
      <c r="V3" s="5">
        <v>7.69</v>
      </c>
      <c r="W3" s="5">
        <v>0</v>
      </c>
      <c r="X3" s="5">
        <v>10.26</v>
      </c>
      <c r="Y3" s="5">
        <v>0</v>
      </c>
      <c r="Z3" s="5">
        <v>30</v>
      </c>
      <c r="AA3" s="5">
        <v>13.65</v>
      </c>
      <c r="AB3" s="5">
        <v>38.69</v>
      </c>
      <c r="AC3" s="5">
        <v>31.29</v>
      </c>
      <c r="AD3" s="5">
        <v>73.7</v>
      </c>
      <c r="AE3" s="5">
        <v>24.93</v>
      </c>
      <c r="AF3" s="5">
        <v>38.4</v>
      </c>
      <c r="AG3" s="5">
        <v>27.82</v>
      </c>
      <c r="AH3" s="5">
        <v>36.619999999999997</v>
      </c>
      <c r="AI3" s="5">
        <v>58.4</v>
      </c>
      <c r="AJ3" s="5">
        <v>87.5</v>
      </c>
      <c r="AK3" s="5">
        <v>70.97</v>
      </c>
      <c r="AL3" s="5">
        <v>66.56</v>
      </c>
      <c r="AM3" s="5">
        <v>53.56</v>
      </c>
      <c r="AN3" s="5">
        <v>75.900000000000006</v>
      </c>
      <c r="AO3" s="5">
        <v>13.45</v>
      </c>
      <c r="AP3" s="5">
        <v>1</v>
      </c>
      <c r="AQ3" t="str">
        <f>IF(COUNTIF([1]Country_Classifications!$B$2:$B$40, $A3)&gt;0, "Africa", "Others")</f>
        <v>Africa</v>
      </c>
    </row>
    <row r="4" spans="1:43" ht="14.5" hidden="1" x14ac:dyDescent="0.35">
      <c r="A4" s="3" t="s">
        <v>164</v>
      </c>
      <c r="B4" s="4" t="s">
        <v>165</v>
      </c>
      <c r="C4" s="5">
        <v>32.29</v>
      </c>
      <c r="D4" s="5">
        <v>32.29</v>
      </c>
      <c r="E4" s="5">
        <v>0</v>
      </c>
      <c r="F4" s="5">
        <v>66.67</v>
      </c>
      <c r="G4" s="5">
        <v>11.36</v>
      </c>
      <c r="H4" s="5">
        <v>13.64</v>
      </c>
      <c r="I4" s="5">
        <v>86.36</v>
      </c>
      <c r="J4" s="5">
        <v>12.88</v>
      </c>
      <c r="K4" s="5">
        <v>10.61</v>
      </c>
      <c r="L4" s="5">
        <v>0</v>
      </c>
      <c r="M4" s="5">
        <v>29.55</v>
      </c>
      <c r="N4" s="5">
        <v>31.06</v>
      </c>
      <c r="O4" s="5">
        <v>0</v>
      </c>
      <c r="P4" s="5">
        <v>0</v>
      </c>
      <c r="Q4" s="5">
        <v>0</v>
      </c>
      <c r="R4" s="5">
        <v>9.09</v>
      </c>
      <c r="S4" s="5">
        <v>28.98</v>
      </c>
      <c r="T4" s="5">
        <v>0</v>
      </c>
      <c r="U4" s="5">
        <v>0</v>
      </c>
      <c r="V4" s="5">
        <v>15.38</v>
      </c>
      <c r="W4" s="5">
        <v>15.38</v>
      </c>
      <c r="X4" s="5">
        <v>20.51</v>
      </c>
      <c r="Y4" s="5">
        <v>0</v>
      </c>
      <c r="Z4" s="5">
        <v>2.5</v>
      </c>
      <c r="AA4" s="5">
        <v>40.46</v>
      </c>
      <c r="AB4" s="5">
        <v>57.42</v>
      </c>
      <c r="AC4" s="5">
        <v>100</v>
      </c>
      <c r="AD4" s="5">
        <v>100</v>
      </c>
      <c r="AE4" s="5">
        <v>50.23</v>
      </c>
      <c r="AF4" s="5">
        <v>77.069999999999993</v>
      </c>
      <c r="AG4" s="5">
        <v>26.72</v>
      </c>
      <c r="AH4" s="5">
        <v>85.83</v>
      </c>
      <c r="AI4" s="5">
        <v>66.8</v>
      </c>
      <c r="AJ4" s="5">
        <v>87.5</v>
      </c>
      <c r="AK4" s="5">
        <v>94.92</v>
      </c>
      <c r="AL4" s="5">
        <v>74.61</v>
      </c>
      <c r="AM4" s="5">
        <v>67.739999999999995</v>
      </c>
      <c r="AN4" s="5">
        <v>93.94</v>
      </c>
      <c r="AO4" s="5">
        <v>40.1</v>
      </c>
      <c r="AP4" s="5">
        <v>1</v>
      </c>
      <c r="AQ4" t="str">
        <f>IF(COUNTIF([1]Country_Classifications!$B$2:$B$40, $A4)&gt;0, "Africa", "Others")</f>
        <v>Others</v>
      </c>
    </row>
    <row r="5" spans="1:43" ht="14.5" hidden="1" x14ac:dyDescent="0.35">
      <c r="A5" s="3" t="s">
        <v>132</v>
      </c>
      <c r="B5" s="4" t="s">
        <v>133</v>
      </c>
      <c r="C5" s="5">
        <v>38.54</v>
      </c>
      <c r="D5" s="5">
        <v>40.14</v>
      </c>
      <c r="E5" s="5">
        <v>82.58</v>
      </c>
      <c r="F5" s="5">
        <v>63.64</v>
      </c>
      <c r="G5" s="5">
        <v>57.95</v>
      </c>
      <c r="H5" s="5">
        <v>40.909999999999997</v>
      </c>
      <c r="I5" s="5">
        <v>30</v>
      </c>
      <c r="J5" s="5">
        <v>48.86</v>
      </c>
      <c r="K5" s="5">
        <v>0</v>
      </c>
      <c r="L5" s="5">
        <v>0</v>
      </c>
      <c r="M5" s="5">
        <v>82.95</v>
      </c>
      <c r="N5" s="5">
        <v>9.09</v>
      </c>
      <c r="O5" s="5">
        <v>36.36</v>
      </c>
      <c r="P5" s="5">
        <v>30.34</v>
      </c>
      <c r="Q5" s="5">
        <v>50</v>
      </c>
      <c r="R5" s="5">
        <v>0</v>
      </c>
      <c r="S5" s="5">
        <v>64.77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8.7899999999999991</v>
      </c>
      <c r="Z5" s="5">
        <v>0</v>
      </c>
      <c r="AA5" s="5">
        <v>13.04</v>
      </c>
      <c r="AB5" s="5">
        <v>100</v>
      </c>
      <c r="AC5" s="5">
        <v>100</v>
      </c>
      <c r="AD5" s="5">
        <v>31.73</v>
      </c>
      <c r="AE5" s="5">
        <v>65.040000000000006</v>
      </c>
      <c r="AF5" s="5">
        <v>94.4</v>
      </c>
      <c r="AG5" s="5">
        <v>23.9</v>
      </c>
      <c r="AH5" s="5">
        <v>100</v>
      </c>
      <c r="AI5" s="5">
        <v>50</v>
      </c>
      <c r="AJ5" s="5">
        <v>87.5</v>
      </c>
      <c r="AK5" s="5">
        <v>95.13</v>
      </c>
      <c r="AL5" s="5">
        <v>74.61</v>
      </c>
      <c r="AM5" s="5">
        <v>24.09</v>
      </c>
      <c r="AN5" s="5">
        <v>97.48</v>
      </c>
      <c r="AO5" s="5">
        <v>20.04</v>
      </c>
      <c r="AP5" s="5">
        <v>0.96</v>
      </c>
      <c r="AQ5" t="str">
        <f>IF(COUNTIF([1]Country_Classifications!$B$2:$B$40, $A5)&gt;0, "Africa", "Others")</f>
        <v>Others</v>
      </c>
    </row>
    <row r="6" spans="1:43" ht="14.5" hidden="1" x14ac:dyDescent="0.35">
      <c r="A6" s="3" t="s">
        <v>152</v>
      </c>
      <c r="B6" s="4" t="s">
        <v>153</v>
      </c>
      <c r="C6" s="5">
        <v>34.31</v>
      </c>
      <c r="D6" s="5">
        <v>34.31</v>
      </c>
      <c r="E6" s="5">
        <v>37.880000000000003</v>
      </c>
      <c r="F6" s="5">
        <v>9.09</v>
      </c>
      <c r="G6" s="5">
        <v>0</v>
      </c>
      <c r="H6" s="5">
        <v>28.03</v>
      </c>
      <c r="I6" s="5">
        <v>37.880000000000003</v>
      </c>
      <c r="J6" s="5">
        <v>37.119999999999997</v>
      </c>
      <c r="K6" s="5">
        <v>0</v>
      </c>
      <c r="L6" s="5">
        <v>12.12</v>
      </c>
      <c r="M6" s="5">
        <v>9.09</v>
      </c>
      <c r="N6" s="5">
        <v>25.38</v>
      </c>
      <c r="O6" s="5">
        <v>40.340000000000003</v>
      </c>
      <c r="P6" s="5">
        <v>37.880000000000003</v>
      </c>
      <c r="Q6" s="5">
        <v>38.64</v>
      </c>
      <c r="R6" s="5">
        <v>0</v>
      </c>
      <c r="S6" s="5">
        <v>9.09</v>
      </c>
      <c r="T6" s="5">
        <v>38.64</v>
      </c>
      <c r="U6" s="5">
        <v>0</v>
      </c>
      <c r="V6" s="5">
        <v>7.69</v>
      </c>
      <c r="W6" s="5">
        <v>46.15</v>
      </c>
      <c r="X6" s="5">
        <v>10.26</v>
      </c>
      <c r="Y6" s="5">
        <v>21.98</v>
      </c>
      <c r="Z6" s="5">
        <v>47.5</v>
      </c>
      <c r="AA6" s="5">
        <v>58.45</v>
      </c>
      <c r="AB6" s="5">
        <v>37.47</v>
      </c>
      <c r="AC6" s="5">
        <v>100</v>
      </c>
      <c r="AD6" s="5">
        <v>41.24</v>
      </c>
      <c r="AE6" s="5">
        <v>47.03</v>
      </c>
      <c r="AF6" s="5">
        <v>87.47</v>
      </c>
      <c r="AG6" s="5">
        <v>53.77</v>
      </c>
      <c r="AH6" s="5">
        <v>49.1</v>
      </c>
      <c r="AI6" s="5">
        <v>50.2</v>
      </c>
      <c r="AJ6" s="5">
        <v>87.5</v>
      </c>
      <c r="AK6" s="5">
        <v>94.49</v>
      </c>
      <c r="AL6" s="5">
        <v>76.63</v>
      </c>
      <c r="AM6" s="5">
        <v>66.5</v>
      </c>
      <c r="AN6" s="5">
        <v>90.41</v>
      </c>
      <c r="AO6" s="5">
        <v>57.55</v>
      </c>
      <c r="AP6" s="5">
        <v>1</v>
      </c>
      <c r="AQ6" t="str">
        <f>IF(COUNTIF([1]Country_Classifications!$B$2:$B$40, $A6)&gt;0, "Africa", "Others")</f>
        <v>Others</v>
      </c>
    </row>
    <row r="7" spans="1:43" ht="14.5" hidden="1" x14ac:dyDescent="0.35">
      <c r="A7" s="3" t="s">
        <v>212</v>
      </c>
      <c r="B7" s="4" t="s">
        <v>213</v>
      </c>
      <c r="C7" s="5">
        <v>22.51</v>
      </c>
      <c r="D7" s="5">
        <v>22.51</v>
      </c>
      <c r="E7" s="5">
        <v>0</v>
      </c>
      <c r="F7" s="5">
        <v>10.61</v>
      </c>
      <c r="G7" s="5">
        <v>0</v>
      </c>
      <c r="H7" s="5">
        <v>0</v>
      </c>
      <c r="I7" s="5">
        <v>0</v>
      </c>
      <c r="J7" s="5">
        <v>9.09</v>
      </c>
      <c r="K7" s="5">
        <v>0</v>
      </c>
      <c r="L7" s="5">
        <v>0</v>
      </c>
      <c r="M7" s="5">
        <v>0</v>
      </c>
      <c r="N7" s="5">
        <v>9.09</v>
      </c>
      <c r="O7" s="5">
        <v>0</v>
      </c>
      <c r="P7" s="5">
        <v>9.09</v>
      </c>
      <c r="Q7" s="5">
        <v>9.09</v>
      </c>
      <c r="R7" s="5">
        <v>61.36</v>
      </c>
      <c r="S7" s="5">
        <v>0</v>
      </c>
      <c r="T7" s="5">
        <v>0</v>
      </c>
      <c r="U7" s="5">
        <v>0</v>
      </c>
      <c r="V7" s="5">
        <v>7.69</v>
      </c>
      <c r="W7" s="5">
        <v>7.69</v>
      </c>
      <c r="X7" s="5">
        <v>10.26</v>
      </c>
      <c r="Y7" s="5">
        <v>0</v>
      </c>
      <c r="Z7" s="5">
        <v>0</v>
      </c>
      <c r="AA7" s="5">
        <v>57.37</v>
      </c>
      <c r="AB7" s="5">
        <v>47.98</v>
      </c>
      <c r="AC7" s="5">
        <v>100</v>
      </c>
      <c r="AD7" s="5">
        <v>61.02</v>
      </c>
      <c r="AE7" s="5">
        <v>49.65</v>
      </c>
      <c r="AF7" s="5">
        <v>76.27</v>
      </c>
      <c r="AG7" s="5">
        <v>42.62</v>
      </c>
      <c r="AH7" s="5">
        <v>51.66</v>
      </c>
      <c r="AI7" s="5">
        <v>66.8</v>
      </c>
      <c r="AJ7" s="5">
        <v>37.5</v>
      </c>
      <c r="AK7" s="5">
        <v>92.16</v>
      </c>
      <c r="AL7" s="5">
        <v>70.88</v>
      </c>
      <c r="AM7" s="5">
        <v>74.56</v>
      </c>
      <c r="AN7" s="5">
        <v>80.72</v>
      </c>
      <c r="AO7" s="5">
        <v>30.97</v>
      </c>
      <c r="AP7" s="5">
        <v>1</v>
      </c>
      <c r="AQ7" t="str">
        <f>IF(COUNTIF([1]Country_Classifications!$B$2:$B$40, $A7)&gt;0, "Africa", "Others")</f>
        <v>Others</v>
      </c>
    </row>
    <row r="8" spans="1:43" ht="14.5" hidden="1" x14ac:dyDescent="0.35">
      <c r="A8" s="3" t="s">
        <v>234</v>
      </c>
      <c r="B8" s="4" t="s">
        <v>235</v>
      </c>
      <c r="C8" s="5">
        <v>17.649999999999999</v>
      </c>
      <c r="D8" s="5">
        <v>17.649999999999999</v>
      </c>
      <c r="E8" s="5">
        <v>0</v>
      </c>
      <c r="F8" s="5">
        <v>0</v>
      </c>
      <c r="G8" s="5">
        <v>9.09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9.09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78.8</v>
      </c>
      <c r="AB8" s="5">
        <v>63.73</v>
      </c>
      <c r="AC8" s="5">
        <v>98.86</v>
      </c>
      <c r="AD8" s="5">
        <v>8.11</v>
      </c>
      <c r="AE8" s="5">
        <v>67.56</v>
      </c>
      <c r="AF8" s="5">
        <v>75.47</v>
      </c>
      <c r="AG8" s="5">
        <v>90.48</v>
      </c>
      <c r="AH8" s="5">
        <v>14.11</v>
      </c>
      <c r="AI8" s="5">
        <v>58.4</v>
      </c>
      <c r="AJ8" s="5">
        <v>0</v>
      </c>
      <c r="AK8" s="5">
        <v>54.66</v>
      </c>
      <c r="AL8" s="5">
        <v>65.040000000000006</v>
      </c>
      <c r="AM8" s="5">
        <v>85.09</v>
      </c>
      <c r="AN8" s="5">
        <v>14.49</v>
      </c>
      <c r="AO8" s="5">
        <v>32.03</v>
      </c>
      <c r="AP8" s="5">
        <v>1</v>
      </c>
      <c r="AQ8" t="str">
        <f>IF(COUNTIF([1]Country_Classifications!$B$2:$B$40, $A8)&gt;0, "Africa", "Others")</f>
        <v>Others</v>
      </c>
    </row>
    <row r="9" spans="1:43" ht="14.5" hidden="1" x14ac:dyDescent="0.35">
      <c r="A9" s="3" t="s">
        <v>63</v>
      </c>
      <c r="B9" s="4" t="s">
        <v>64</v>
      </c>
      <c r="C9" s="5">
        <v>56.4</v>
      </c>
      <c r="D9" s="5">
        <v>58.75</v>
      </c>
      <c r="E9" s="5">
        <v>57.58</v>
      </c>
      <c r="F9" s="5">
        <v>54.17</v>
      </c>
      <c r="G9" s="5">
        <v>63.64</v>
      </c>
      <c r="H9" s="5">
        <v>50</v>
      </c>
      <c r="I9" s="5">
        <v>38.64</v>
      </c>
      <c r="J9" s="5">
        <v>49.24</v>
      </c>
      <c r="K9" s="5">
        <v>27.27</v>
      </c>
      <c r="L9" s="5">
        <v>18.18</v>
      </c>
      <c r="M9" s="5">
        <v>90.91</v>
      </c>
      <c r="N9" s="5">
        <v>32.770000000000003</v>
      </c>
      <c r="O9" s="5">
        <v>50</v>
      </c>
      <c r="P9" s="5">
        <v>69.7</v>
      </c>
      <c r="Q9" s="5">
        <v>47.73</v>
      </c>
      <c r="R9" s="5">
        <v>65.91</v>
      </c>
      <c r="S9" s="5">
        <v>38.24</v>
      </c>
      <c r="T9" s="5">
        <v>39.200000000000003</v>
      </c>
      <c r="U9" s="5">
        <v>38.64</v>
      </c>
      <c r="V9" s="5">
        <v>7.69</v>
      </c>
      <c r="W9" s="5">
        <v>53.85</v>
      </c>
      <c r="X9" s="5">
        <v>65.64</v>
      </c>
      <c r="Y9" s="5">
        <v>70.33</v>
      </c>
      <c r="Z9" s="5">
        <v>40</v>
      </c>
      <c r="AA9" s="5">
        <v>85.75</v>
      </c>
      <c r="AB9" s="5">
        <v>100</v>
      </c>
      <c r="AC9" s="5">
        <v>97.83</v>
      </c>
      <c r="AD9" s="5">
        <v>35.08</v>
      </c>
      <c r="AE9" s="5">
        <v>88.47</v>
      </c>
      <c r="AF9" s="5">
        <v>96.53</v>
      </c>
      <c r="AG9" s="5">
        <v>69.41</v>
      </c>
      <c r="AH9" s="5">
        <v>96.06</v>
      </c>
      <c r="AI9" s="5">
        <v>83.4</v>
      </c>
      <c r="AJ9" s="5">
        <v>43.75</v>
      </c>
      <c r="AK9" s="5">
        <v>96.82</v>
      </c>
      <c r="AL9" s="5">
        <v>88.73</v>
      </c>
      <c r="AM9" s="5">
        <v>85.15</v>
      </c>
      <c r="AN9" s="5">
        <v>99.22</v>
      </c>
      <c r="AO9" s="5">
        <v>87.99</v>
      </c>
      <c r="AP9" s="5">
        <v>0.96</v>
      </c>
      <c r="AQ9" t="str">
        <f>IF(COUNTIF([1]Country_Classifications!$B$2:$B$40, $A9)&gt;0, "Africa", "Others")</f>
        <v>Others</v>
      </c>
    </row>
    <row r="10" spans="1:43" ht="14.5" hidden="1" x14ac:dyDescent="0.35">
      <c r="A10" s="3" t="s">
        <v>57</v>
      </c>
      <c r="B10" s="4" t="s">
        <v>58</v>
      </c>
      <c r="C10" s="5">
        <v>58.16</v>
      </c>
      <c r="D10" s="5">
        <v>58.16</v>
      </c>
      <c r="E10" s="5">
        <v>63.41</v>
      </c>
      <c r="F10" s="5">
        <v>71.209999999999994</v>
      </c>
      <c r="G10" s="5">
        <v>9.09</v>
      </c>
      <c r="H10" s="5">
        <v>64.77</v>
      </c>
      <c r="I10" s="5">
        <v>64.77</v>
      </c>
      <c r="J10" s="5">
        <v>64.77</v>
      </c>
      <c r="K10" s="5">
        <v>0</v>
      </c>
      <c r="L10" s="5">
        <v>64.09</v>
      </c>
      <c r="M10" s="5">
        <v>71.59</v>
      </c>
      <c r="N10" s="5">
        <v>74.239999999999995</v>
      </c>
      <c r="O10" s="5">
        <v>65.45</v>
      </c>
      <c r="P10" s="5">
        <v>64.77</v>
      </c>
      <c r="Q10" s="5">
        <v>73.180000000000007</v>
      </c>
      <c r="R10" s="5">
        <v>79.55</v>
      </c>
      <c r="S10" s="5">
        <v>9.09</v>
      </c>
      <c r="T10" s="5">
        <v>0</v>
      </c>
      <c r="U10" s="5">
        <v>9.09</v>
      </c>
      <c r="V10" s="5">
        <v>7.69</v>
      </c>
      <c r="W10" s="5">
        <v>0</v>
      </c>
      <c r="X10" s="5">
        <v>20.51</v>
      </c>
      <c r="Y10" s="5">
        <v>0</v>
      </c>
      <c r="Z10" s="5">
        <v>72.5</v>
      </c>
      <c r="AA10" s="5">
        <v>85.39</v>
      </c>
      <c r="AB10" s="5">
        <v>100</v>
      </c>
      <c r="AC10" s="5">
        <v>95.35</v>
      </c>
      <c r="AD10" s="5">
        <v>86.22</v>
      </c>
      <c r="AE10" s="5">
        <v>93.46</v>
      </c>
      <c r="AF10" s="5">
        <v>94.67</v>
      </c>
      <c r="AG10" s="5">
        <v>86.06</v>
      </c>
      <c r="AH10" s="5">
        <v>88.6</v>
      </c>
      <c r="AI10" s="5">
        <v>100</v>
      </c>
      <c r="AJ10" s="5">
        <v>87.5</v>
      </c>
      <c r="AK10" s="5">
        <v>86.02</v>
      </c>
      <c r="AL10" s="5">
        <v>98.44</v>
      </c>
      <c r="AM10" s="5">
        <v>87.33</v>
      </c>
      <c r="AN10" s="5">
        <v>97.54</v>
      </c>
      <c r="AO10" s="5">
        <v>65.099999999999994</v>
      </c>
      <c r="AP10" s="5">
        <v>1</v>
      </c>
      <c r="AQ10" t="str">
        <f>IF(COUNTIF([1]Country_Classifications!$B$2:$B$40, $A10)&gt;0, "Africa", "Others")</f>
        <v>Others</v>
      </c>
    </row>
    <row r="11" spans="1:43" ht="14.5" hidden="1" x14ac:dyDescent="0.35">
      <c r="A11" s="3" t="s">
        <v>174</v>
      </c>
      <c r="B11" s="4" t="s">
        <v>175</v>
      </c>
      <c r="C11" s="5">
        <v>29.95</v>
      </c>
      <c r="D11" s="5">
        <v>29.95</v>
      </c>
      <c r="E11" s="5">
        <v>0</v>
      </c>
      <c r="F11" s="5">
        <v>0</v>
      </c>
      <c r="G11" s="5">
        <v>78.03</v>
      </c>
      <c r="H11" s="5">
        <v>0</v>
      </c>
      <c r="I11" s="5">
        <v>60.61</v>
      </c>
      <c r="J11" s="5">
        <v>0</v>
      </c>
      <c r="K11" s="5">
        <v>0</v>
      </c>
      <c r="L11" s="5">
        <v>0</v>
      </c>
      <c r="M11" s="5">
        <v>68.94</v>
      </c>
      <c r="N11" s="5">
        <v>62.12</v>
      </c>
      <c r="O11" s="5">
        <v>9.09</v>
      </c>
      <c r="P11" s="5">
        <v>0</v>
      </c>
      <c r="Q11" s="5">
        <v>0</v>
      </c>
      <c r="R11" s="5">
        <v>0</v>
      </c>
      <c r="S11" s="5">
        <v>70.45</v>
      </c>
      <c r="T11" s="5">
        <v>0</v>
      </c>
      <c r="U11" s="5">
        <v>0</v>
      </c>
      <c r="V11" s="5">
        <v>7.69</v>
      </c>
      <c r="W11" s="5">
        <v>0</v>
      </c>
      <c r="X11" s="5">
        <v>20.51</v>
      </c>
      <c r="Y11" s="5">
        <v>0</v>
      </c>
      <c r="Z11" s="5">
        <v>40</v>
      </c>
      <c r="AA11" s="5">
        <v>13.04</v>
      </c>
      <c r="AB11" s="5">
        <v>50.39</v>
      </c>
      <c r="AC11" s="5">
        <v>86.4</v>
      </c>
      <c r="AD11" s="5">
        <v>11.75</v>
      </c>
      <c r="AE11" s="5">
        <v>41.4</v>
      </c>
      <c r="AF11" s="5">
        <v>72</v>
      </c>
      <c r="AG11" s="5">
        <v>42.62</v>
      </c>
      <c r="AH11" s="5">
        <v>93.62</v>
      </c>
      <c r="AI11" s="5">
        <v>58.4</v>
      </c>
      <c r="AJ11" s="5">
        <v>87.5</v>
      </c>
      <c r="AK11" s="5">
        <v>70.97</v>
      </c>
      <c r="AL11" s="5">
        <v>62.88</v>
      </c>
      <c r="AM11" s="5">
        <v>11.87</v>
      </c>
      <c r="AN11" s="5">
        <v>97.37</v>
      </c>
      <c r="AO11" s="5">
        <v>30.97</v>
      </c>
      <c r="AP11" s="5">
        <v>1</v>
      </c>
      <c r="AQ11" t="str">
        <f>IF(COUNTIF([1]Country_Classifications!$B$2:$B$40, $A11)&gt;0, "Africa", "Others")</f>
        <v>Others</v>
      </c>
    </row>
    <row r="12" spans="1:43" ht="14.5" x14ac:dyDescent="0.35">
      <c r="A12" s="3" t="s">
        <v>286</v>
      </c>
      <c r="B12" s="4" t="s">
        <v>287</v>
      </c>
      <c r="C12" s="5">
        <v>8.6999999999999993</v>
      </c>
      <c r="D12" s="5">
        <v>8.6999999999999993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20.51</v>
      </c>
      <c r="Y12" s="5">
        <v>0</v>
      </c>
      <c r="Z12" s="5">
        <v>0</v>
      </c>
      <c r="AA12" s="5">
        <v>9.66</v>
      </c>
      <c r="AB12" s="5">
        <v>0</v>
      </c>
      <c r="AC12" s="5">
        <v>6.43</v>
      </c>
      <c r="AD12" s="5">
        <v>75.510000000000005</v>
      </c>
      <c r="AE12" s="5">
        <v>21.72</v>
      </c>
      <c r="AF12" s="5">
        <v>41.6</v>
      </c>
      <c r="AG12" s="5">
        <v>26.52</v>
      </c>
      <c r="AH12" s="5">
        <v>12.61</v>
      </c>
      <c r="AI12" s="5">
        <v>8.4</v>
      </c>
      <c r="AJ12" s="5">
        <v>12.5</v>
      </c>
      <c r="AK12" s="5">
        <v>51.06</v>
      </c>
      <c r="AL12" s="5">
        <v>39.56</v>
      </c>
      <c r="AM12" s="5">
        <v>24.92</v>
      </c>
      <c r="AN12" s="5">
        <v>28.98</v>
      </c>
      <c r="AO12" s="5">
        <v>22.12</v>
      </c>
      <c r="AP12" s="5">
        <v>1</v>
      </c>
      <c r="AQ12" t="str">
        <f>IF(COUNTIF([1]Country_Classifications!$B$2:$B$40, $A12)&gt;0, "Africa", "Others")</f>
        <v>Africa</v>
      </c>
    </row>
    <row r="13" spans="1:43" ht="14.5" hidden="1" x14ac:dyDescent="0.35">
      <c r="A13" s="3" t="s">
        <v>49</v>
      </c>
      <c r="B13" s="4" t="s">
        <v>50</v>
      </c>
      <c r="C13" s="5">
        <v>60.49</v>
      </c>
      <c r="D13" s="5">
        <v>60.49</v>
      </c>
      <c r="E13" s="5">
        <v>63.41</v>
      </c>
      <c r="F13" s="5">
        <v>71.209999999999994</v>
      </c>
      <c r="G13" s="5">
        <v>0</v>
      </c>
      <c r="H13" s="5">
        <v>82.95</v>
      </c>
      <c r="I13" s="5">
        <v>64.77</v>
      </c>
      <c r="J13" s="5">
        <v>73.86</v>
      </c>
      <c r="K13" s="5">
        <v>67.05</v>
      </c>
      <c r="L13" s="5">
        <v>64.09</v>
      </c>
      <c r="M13" s="5">
        <v>67.8</v>
      </c>
      <c r="N13" s="5">
        <v>9.09</v>
      </c>
      <c r="O13" s="5">
        <v>65.45</v>
      </c>
      <c r="P13" s="5">
        <v>64.77</v>
      </c>
      <c r="Q13" s="5">
        <v>73.180000000000007</v>
      </c>
      <c r="R13" s="5">
        <v>88.64</v>
      </c>
      <c r="S13" s="5">
        <v>69.319999999999993</v>
      </c>
      <c r="T13" s="5">
        <v>0</v>
      </c>
      <c r="U13" s="5">
        <v>9.09</v>
      </c>
      <c r="V13" s="5">
        <v>7.69</v>
      </c>
      <c r="W13" s="5">
        <v>23.08</v>
      </c>
      <c r="X13" s="5">
        <v>10.26</v>
      </c>
      <c r="Y13" s="5">
        <v>17.579999999999998</v>
      </c>
      <c r="Z13" s="5">
        <v>55</v>
      </c>
      <c r="AA13" s="5">
        <v>97.22</v>
      </c>
      <c r="AB13" s="5">
        <v>88.04</v>
      </c>
      <c r="AC13" s="5">
        <v>93.18</v>
      </c>
      <c r="AD13" s="5">
        <v>76.349999999999994</v>
      </c>
      <c r="AE13" s="5">
        <v>83.95</v>
      </c>
      <c r="AF13" s="5">
        <v>92</v>
      </c>
      <c r="AG13" s="5">
        <v>86.05</v>
      </c>
      <c r="AH13" s="5">
        <v>96.66</v>
      </c>
      <c r="AI13" s="5">
        <v>91.8</v>
      </c>
      <c r="AJ13" s="5">
        <v>93.75</v>
      </c>
      <c r="AK13" s="5">
        <v>98.09</v>
      </c>
      <c r="AL13" s="5">
        <v>89.33</v>
      </c>
      <c r="AM13" s="5">
        <v>92.91</v>
      </c>
      <c r="AN13" s="5">
        <v>96.37</v>
      </c>
      <c r="AO13" s="5">
        <v>74.86</v>
      </c>
      <c r="AP13" s="5">
        <v>1</v>
      </c>
      <c r="AQ13" t="str">
        <f>IF(COUNTIF([1]Country_Classifications!$B$2:$B$40, $A13)&gt;0, "Africa", "Others")</f>
        <v>Others</v>
      </c>
    </row>
    <row r="14" spans="1:43" ht="14.5" x14ac:dyDescent="0.35">
      <c r="A14" s="3" t="s">
        <v>140</v>
      </c>
      <c r="B14" s="4" t="s">
        <v>141</v>
      </c>
      <c r="C14" s="5">
        <v>37.01</v>
      </c>
      <c r="D14" s="5">
        <v>37.01</v>
      </c>
      <c r="E14" s="5">
        <v>0</v>
      </c>
      <c r="F14" s="5">
        <v>0</v>
      </c>
      <c r="G14" s="5">
        <v>73.48</v>
      </c>
      <c r="H14" s="5">
        <v>66.36</v>
      </c>
      <c r="I14" s="5">
        <v>58.64</v>
      </c>
      <c r="J14" s="5">
        <v>58.64</v>
      </c>
      <c r="K14" s="5">
        <v>64.39</v>
      </c>
      <c r="L14" s="5">
        <v>9.09</v>
      </c>
      <c r="M14" s="5">
        <v>73.48</v>
      </c>
      <c r="N14" s="5">
        <v>75.760000000000005</v>
      </c>
      <c r="O14" s="5">
        <v>0</v>
      </c>
      <c r="P14" s="5">
        <v>58.64</v>
      </c>
      <c r="Q14" s="5">
        <v>0</v>
      </c>
      <c r="R14" s="5">
        <v>0</v>
      </c>
      <c r="S14" s="5">
        <v>75</v>
      </c>
      <c r="T14" s="5">
        <v>0</v>
      </c>
      <c r="U14" s="5">
        <v>0</v>
      </c>
      <c r="V14" s="5">
        <v>7.69</v>
      </c>
      <c r="W14" s="5">
        <v>0</v>
      </c>
      <c r="X14" s="5">
        <v>20.51</v>
      </c>
      <c r="Y14" s="5">
        <v>13.19</v>
      </c>
      <c r="Z14" s="5">
        <v>47.5</v>
      </c>
      <c r="AA14" s="5">
        <v>44.81</v>
      </c>
      <c r="AB14" s="5">
        <v>10.11</v>
      </c>
      <c r="AC14" s="5">
        <v>8.11</v>
      </c>
      <c r="AD14" s="5">
        <v>3.96</v>
      </c>
      <c r="AE14" s="5">
        <v>43.15</v>
      </c>
      <c r="AF14" s="5">
        <v>38.4</v>
      </c>
      <c r="AG14" s="5">
        <v>46.44</v>
      </c>
      <c r="AH14" s="5">
        <v>91.12</v>
      </c>
      <c r="AI14" s="5">
        <v>100</v>
      </c>
      <c r="AJ14" s="5">
        <v>93.75</v>
      </c>
      <c r="AK14" s="5">
        <v>88.77</v>
      </c>
      <c r="AL14" s="5">
        <v>56.26</v>
      </c>
      <c r="AM14" s="5">
        <v>67.05</v>
      </c>
      <c r="AN14" s="5">
        <v>85.95</v>
      </c>
      <c r="AO14" s="5">
        <v>15.91</v>
      </c>
      <c r="AP14" s="5">
        <v>1</v>
      </c>
      <c r="AQ14" t="str">
        <f>IF(COUNTIF([1]Country_Classifications!$B$2:$B$40, $A14)&gt;0, "Africa", "Others")</f>
        <v>Africa</v>
      </c>
    </row>
    <row r="15" spans="1:43" ht="14.5" x14ac:dyDescent="0.35">
      <c r="A15" s="3" t="s">
        <v>264</v>
      </c>
      <c r="B15" s="4" t="s">
        <v>265</v>
      </c>
      <c r="C15" s="5">
        <v>13.11</v>
      </c>
      <c r="D15" s="5">
        <v>13.11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57.27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15.38</v>
      </c>
      <c r="W15" s="5">
        <v>0</v>
      </c>
      <c r="X15" s="5">
        <v>20.51</v>
      </c>
      <c r="Y15" s="5">
        <v>4.4000000000000004</v>
      </c>
      <c r="Z15" s="5">
        <v>40</v>
      </c>
      <c r="AA15" s="5">
        <v>17.03</v>
      </c>
      <c r="AB15" s="5">
        <v>0</v>
      </c>
      <c r="AC15" s="5">
        <v>0</v>
      </c>
      <c r="AD15" s="5">
        <v>17.16</v>
      </c>
      <c r="AE15" s="5">
        <v>31.81</v>
      </c>
      <c r="AF15" s="5">
        <v>19.73</v>
      </c>
      <c r="AG15" s="5">
        <v>35.46</v>
      </c>
      <c r="AH15" s="5">
        <v>68.91</v>
      </c>
      <c r="AI15" s="5">
        <v>75</v>
      </c>
      <c r="AJ15" s="5">
        <v>87.5</v>
      </c>
      <c r="AK15" s="5">
        <v>90.25</v>
      </c>
      <c r="AL15" s="5">
        <v>19.23</v>
      </c>
      <c r="AM15" s="5">
        <v>30.82</v>
      </c>
      <c r="AN15" s="5">
        <v>53.94</v>
      </c>
      <c r="AO15" s="5">
        <v>26.7</v>
      </c>
      <c r="AP15" s="5">
        <v>1</v>
      </c>
      <c r="AQ15" t="str">
        <f>IF(COUNTIF([1]Country_Classifications!$B$2:$B$40, $A15)&gt;0, "Africa", "Others")</f>
        <v>Africa</v>
      </c>
    </row>
    <row r="16" spans="1:43" ht="14.5" hidden="1" x14ac:dyDescent="0.35">
      <c r="A16" s="3" t="s">
        <v>224</v>
      </c>
      <c r="B16" s="4" t="s">
        <v>225</v>
      </c>
      <c r="C16" s="5">
        <v>19.579999999999998</v>
      </c>
      <c r="D16" s="5">
        <v>20.399999999999999</v>
      </c>
      <c r="E16" s="5">
        <v>0</v>
      </c>
      <c r="F16" s="5">
        <v>65.150000000000006</v>
      </c>
      <c r="G16" s="5">
        <v>0</v>
      </c>
      <c r="H16" s="5">
        <v>12.12</v>
      </c>
      <c r="I16" s="5">
        <v>10.61</v>
      </c>
      <c r="J16" s="5">
        <v>12.12</v>
      </c>
      <c r="K16" s="5">
        <v>11.36</v>
      </c>
      <c r="L16" s="5">
        <v>0</v>
      </c>
      <c r="M16" s="5">
        <v>9.85</v>
      </c>
      <c r="N16" s="5">
        <v>14.77</v>
      </c>
      <c r="O16" s="5">
        <v>12.5</v>
      </c>
      <c r="P16" s="5">
        <v>0</v>
      </c>
      <c r="Q16" s="5">
        <v>0</v>
      </c>
      <c r="R16" s="5">
        <v>65.91</v>
      </c>
      <c r="S16" s="5">
        <v>0</v>
      </c>
      <c r="T16" s="5">
        <v>0</v>
      </c>
      <c r="U16" s="5">
        <v>10.23</v>
      </c>
      <c r="V16" s="5">
        <v>0</v>
      </c>
      <c r="W16" s="5">
        <v>0</v>
      </c>
      <c r="X16" s="5">
        <v>20.51</v>
      </c>
      <c r="Y16" s="5">
        <v>0</v>
      </c>
      <c r="Z16" s="5">
        <v>8.75</v>
      </c>
      <c r="AA16" s="5">
        <v>11.96</v>
      </c>
      <c r="AB16" s="5">
        <v>29.64</v>
      </c>
      <c r="AC16" s="5">
        <v>20.2</v>
      </c>
      <c r="AD16" s="5">
        <v>1.89</v>
      </c>
      <c r="AE16" s="5">
        <v>29.97</v>
      </c>
      <c r="AF16" s="5">
        <v>50.93</v>
      </c>
      <c r="AG16" s="5">
        <v>18.399999999999999</v>
      </c>
      <c r="AH16" s="5">
        <v>96.81</v>
      </c>
      <c r="AI16" s="5">
        <v>33.4</v>
      </c>
      <c r="AJ16" s="5">
        <v>87.5</v>
      </c>
      <c r="AK16" s="5">
        <v>76.69</v>
      </c>
      <c r="AL16" s="5">
        <v>51.33</v>
      </c>
      <c r="AM16" s="5">
        <v>58.08</v>
      </c>
      <c r="AN16" s="5">
        <v>91.49</v>
      </c>
      <c r="AO16" s="5">
        <v>32.979999999999997</v>
      </c>
      <c r="AP16" s="5">
        <v>0.96</v>
      </c>
      <c r="AQ16" t="str">
        <f>IF(COUNTIF([1]Country_Classifications!$B$2:$B$40, $A16)&gt;0, "Africa", "Others")</f>
        <v>Others</v>
      </c>
    </row>
    <row r="17" spans="1:43" ht="14.5" hidden="1" x14ac:dyDescent="0.35">
      <c r="A17" s="3" t="s">
        <v>47</v>
      </c>
      <c r="B17" s="4" t="s">
        <v>48</v>
      </c>
      <c r="C17" s="5">
        <v>61.61</v>
      </c>
      <c r="D17" s="5">
        <v>61.61</v>
      </c>
      <c r="E17" s="5">
        <v>63.41</v>
      </c>
      <c r="F17" s="5">
        <v>71.209999999999994</v>
      </c>
      <c r="G17" s="5">
        <v>71.59</v>
      </c>
      <c r="H17" s="5">
        <v>82.95</v>
      </c>
      <c r="I17" s="5">
        <v>92.05</v>
      </c>
      <c r="J17" s="5">
        <v>64.77</v>
      </c>
      <c r="K17" s="5">
        <v>0</v>
      </c>
      <c r="L17" s="5">
        <v>64.09</v>
      </c>
      <c r="M17" s="5">
        <v>63.26</v>
      </c>
      <c r="N17" s="5">
        <v>76.14</v>
      </c>
      <c r="O17" s="5">
        <v>92.73</v>
      </c>
      <c r="P17" s="5">
        <v>64.77</v>
      </c>
      <c r="Q17" s="5">
        <v>82.27</v>
      </c>
      <c r="R17" s="5">
        <v>88.64</v>
      </c>
      <c r="S17" s="5">
        <v>39.39</v>
      </c>
      <c r="T17" s="5">
        <v>0</v>
      </c>
      <c r="U17" s="5">
        <v>18.18</v>
      </c>
      <c r="V17" s="5">
        <v>30.77</v>
      </c>
      <c r="W17" s="5">
        <v>46.15</v>
      </c>
      <c r="X17" s="5">
        <v>51.28</v>
      </c>
      <c r="Y17" s="5">
        <v>30.77</v>
      </c>
      <c r="Z17" s="5">
        <v>45</v>
      </c>
      <c r="AA17" s="5">
        <v>51.45</v>
      </c>
      <c r="AB17" s="5">
        <v>65.45</v>
      </c>
      <c r="AC17" s="5">
        <v>100</v>
      </c>
      <c r="AD17" s="5">
        <v>71.12</v>
      </c>
      <c r="AE17" s="5">
        <v>52.28</v>
      </c>
      <c r="AF17" s="5">
        <v>81.33</v>
      </c>
      <c r="AG17" s="5">
        <v>59.68</v>
      </c>
      <c r="AH17" s="5">
        <v>73.290000000000006</v>
      </c>
      <c r="AI17" s="5">
        <v>83.4</v>
      </c>
      <c r="AJ17" s="5">
        <v>87.5</v>
      </c>
      <c r="AK17" s="5">
        <v>94.7</v>
      </c>
      <c r="AL17" s="5">
        <v>83.9</v>
      </c>
      <c r="AM17" s="5">
        <v>76.459999999999994</v>
      </c>
      <c r="AN17" s="5">
        <v>92.68</v>
      </c>
      <c r="AO17" s="5">
        <v>53.49</v>
      </c>
      <c r="AP17" s="5">
        <v>1</v>
      </c>
      <c r="AQ17" t="str">
        <f>IF(COUNTIF([1]Country_Classifications!$B$2:$B$40, $A17)&gt;0, "Africa", "Others")</f>
        <v>Others</v>
      </c>
    </row>
    <row r="18" spans="1:43" ht="14.5" hidden="1" x14ac:dyDescent="0.35">
      <c r="A18" s="3" t="s">
        <v>172</v>
      </c>
      <c r="B18" s="4" t="s">
        <v>173</v>
      </c>
      <c r="C18" s="5">
        <v>30.49</v>
      </c>
      <c r="D18" s="5">
        <v>30.49</v>
      </c>
      <c r="E18" s="5">
        <v>0</v>
      </c>
      <c r="F18" s="5">
        <v>0</v>
      </c>
      <c r="G18" s="5">
        <v>0</v>
      </c>
      <c r="H18" s="5">
        <v>57.58</v>
      </c>
      <c r="I18" s="5">
        <v>57.58</v>
      </c>
      <c r="J18" s="5">
        <v>60.61</v>
      </c>
      <c r="K18" s="5">
        <v>32.729999999999997</v>
      </c>
      <c r="L18" s="5">
        <v>0</v>
      </c>
      <c r="M18" s="5">
        <v>66.67</v>
      </c>
      <c r="N18" s="5">
        <v>17.27</v>
      </c>
      <c r="O18" s="5">
        <v>56.82</v>
      </c>
      <c r="P18" s="5">
        <v>8.18</v>
      </c>
      <c r="Q18" s="5">
        <v>58.33</v>
      </c>
      <c r="R18" s="5">
        <v>8.69</v>
      </c>
      <c r="S18" s="5">
        <v>37.5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13.41</v>
      </c>
      <c r="AB18" s="5">
        <v>66.08</v>
      </c>
      <c r="AC18" s="5">
        <v>100</v>
      </c>
      <c r="AD18" s="5">
        <v>0.26</v>
      </c>
      <c r="AE18" s="5">
        <v>57.12</v>
      </c>
      <c r="AF18" s="5">
        <v>78.930000000000007</v>
      </c>
      <c r="AG18" s="5">
        <v>27.23</v>
      </c>
      <c r="AH18" s="5">
        <v>97.84</v>
      </c>
      <c r="AI18" s="5">
        <v>58.4</v>
      </c>
      <c r="AJ18" s="5">
        <v>12.5</v>
      </c>
      <c r="AK18" s="5">
        <v>91.1</v>
      </c>
      <c r="AL18" s="5">
        <v>61.41</v>
      </c>
      <c r="AM18" s="5">
        <v>26.79</v>
      </c>
      <c r="AN18" s="5">
        <v>95.67</v>
      </c>
      <c r="AO18" s="5">
        <v>30.97</v>
      </c>
      <c r="AP18" s="5">
        <v>1</v>
      </c>
      <c r="AQ18" t="str">
        <f>IF(COUNTIF([1]Country_Classifications!$B$2:$B$40, $A18)&gt;0, "Africa", "Others")</f>
        <v>Others</v>
      </c>
    </row>
    <row r="19" spans="1:43" ht="14.5" hidden="1" x14ac:dyDescent="0.35">
      <c r="A19" s="3" t="s">
        <v>244</v>
      </c>
      <c r="B19" s="4" t="s">
        <v>245</v>
      </c>
      <c r="C19" s="5">
        <v>15.64</v>
      </c>
      <c r="D19" s="5">
        <v>17.190000000000001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41.67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23.08</v>
      </c>
      <c r="X19" s="5">
        <v>20.51</v>
      </c>
      <c r="Y19" s="5">
        <v>57.14</v>
      </c>
      <c r="Z19" s="5">
        <v>0</v>
      </c>
      <c r="AA19" s="5">
        <v>25.6</v>
      </c>
      <c r="AB19" s="5">
        <v>41.13</v>
      </c>
      <c r="AC19" s="5">
        <v>100</v>
      </c>
      <c r="AD19" s="5">
        <v>37.32</v>
      </c>
      <c r="AE19" s="5">
        <v>23.46</v>
      </c>
      <c r="AF19" s="5">
        <v>84</v>
      </c>
      <c r="AG19" s="5">
        <v>16.940000000000001</v>
      </c>
      <c r="AH19" s="5">
        <v>59.61</v>
      </c>
      <c r="AI19" s="5">
        <v>58.4</v>
      </c>
      <c r="AJ19" s="5">
        <v>87.5</v>
      </c>
      <c r="AK19" s="5">
        <v>29.87</v>
      </c>
      <c r="AL19" s="5">
        <v>53.68</v>
      </c>
      <c r="AM19" s="5">
        <v>0.14000000000000001</v>
      </c>
      <c r="AN19" s="5">
        <v>84</v>
      </c>
      <c r="AO19" s="5">
        <v>8.33</v>
      </c>
      <c r="AP19" s="5">
        <v>0.91</v>
      </c>
      <c r="AQ19" t="str">
        <f>IF(COUNTIF([1]Country_Classifications!$B$2:$B$40, $A19)&gt;0, "Africa", "Others")</f>
        <v>Others</v>
      </c>
    </row>
    <row r="20" spans="1:43" ht="14.5" hidden="1" x14ac:dyDescent="0.35">
      <c r="A20" s="3" t="s">
        <v>232</v>
      </c>
      <c r="B20" s="4" t="s">
        <v>233</v>
      </c>
      <c r="C20" s="5">
        <v>17.79</v>
      </c>
      <c r="D20" s="5">
        <v>17.79</v>
      </c>
      <c r="E20" s="5">
        <v>9.09</v>
      </c>
      <c r="F20" s="5">
        <v>0</v>
      </c>
      <c r="G20" s="5">
        <v>0</v>
      </c>
      <c r="H20" s="5">
        <v>0</v>
      </c>
      <c r="I20" s="5">
        <v>0</v>
      </c>
      <c r="J20" s="5">
        <v>57.95</v>
      </c>
      <c r="K20" s="5">
        <v>0</v>
      </c>
      <c r="L20" s="5">
        <v>0</v>
      </c>
      <c r="M20" s="5">
        <v>0</v>
      </c>
      <c r="N20" s="5">
        <v>9.09</v>
      </c>
      <c r="O20" s="5">
        <v>9.09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21.62</v>
      </c>
      <c r="AB20" s="5">
        <v>52.56</v>
      </c>
      <c r="AC20" s="5">
        <v>100</v>
      </c>
      <c r="AD20" s="5">
        <v>87.23</v>
      </c>
      <c r="AE20" s="5">
        <v>43.52</v>
      </c>
      <c r="AF20" s="5">
        <v>68</v>
      </c>
      <c r="AG20" s="5">
        <v>30.81</v>
      </c>
      <c r="AH20" s="5">
        <v>28.97</v>
      </c>
      <c r="AI20" s="5">
        <v>8.4</v>
      </c>
      <c r="AJ20" s="5">
        <v>37.5</v>
      </c>
      <c r="AK20" s="5">
        <v>65.680000000000007</v>
      </c>
      <c r="AL20" s="5">
        <v>56.53</v>
      </c>
      <c r="AM20" s="5">
        <v>52.48</v>
      </c>
      <c r="AN20" s="5">
        <v>35.76</v>
      </c>
      <c r="AO20" s="5">
        <v>27.64</v>
      </c>
      <c r="AP20" s="5">
        <v>1</v>
      </c>
      <c r="AQ20" t="str">
        <f>IF(COUNTIF([1]Country_Classifications!$B$2:$B$40, $A20)&gt;0, "Africa", "Others")</f>
        <v>Others</v>
      </c>
    </row>
    <row r="21" spans="1:43" ht="15.75" hidden="1" customHeight="1" x14ac:dyDescent="0.35">
      <c r="A21" s="3" t="s">
        <v>238</v>
      </c>
      <c r="B21" s="4" t="s">
        <v>239</v>
      </c>
      <c r="C21" s="5">
        <v>16.649999999999999</v>
      </c>
      <c r="D21" s="5">
        <v>17.350000000000001</v>
      </c>
      <c r="E21" s="5">
        <v>0</v>
      </c>
      <c r="F21" s="5">
        <v>0</v>
      </c>
      <c r="G21" s="5">
        <v>0</v>
      </c>
      <c r="H21" s="5">
        <v>0</v>
      </c>
      <c r="I21" s="5">
        <v>12.88</v>
      </c>
      <c r="J21" s="5">
        <v>9.85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9.85</v>
      </c>
      <c r="R21" s="5">
        <v>0</v>
      </c>
      <c r="S21" s="5">
        <v>9.09</v>
      </c>
      <c r="T21" s="5">
        <v>10.8</v>
      </c>
      <c r="U21" s="5">
        <v>0</v>
      </c>
      <c r="V21" s="5">
        <v>0</v>
      </c>
      <c r="W21" s="5">
        <v>23.08</v>
      </c>
      <c r="X21" s="5">
        <v>0</v>
      </c>
      <c r="Y21" s="5">
        <v>30.77</v>
      </c>
      <c r="Z21" s="5">
        <v>0</v>
      </c>
      <c r="AA21" s="5">
        <v>45.65</v>
      </c>
      <c r="AB21" s="5">
        <v>31.73</v>
      </c>
      <c r="AC21" s="5">
        <v>89.74</v>
      </c>
      <c r="AD21" s="5">
        <v>34</v>
      </c>
      <c r="AE21" s="5">
        <v>22.57</v>
      </c>
      <c r="AF21" s="5">
        <v>65.87</v>
      </c>
      <c r="AG21" s="5">
        <v>30.06</v>
      </c>
      <c r="AH21" s="5">
        <v>40.31</v>
      </c>
      <c r="AI21" s="5">
        <v>8.4</v>
      </c>
      <c r="AJ21" s="5">
        <v>87.5</v>
      </c>
      <c r="AK21" s="5">
        <v>81.99</v>
      </c>
      <c r="AL21" s="5">
        <v>65.73</v>
      </c>
      <c r="AM21" s="5">
        <v>62.03</v>
      </c>
      <c r="AN21" s="5">
        <v>70.400000000000006</v>
      </c>
      <c r="AO21" s="5">
        <v>26.15</v>
      </c>
      <c r="AP21" s="5">
        <v>0.96</v>
      </c>
      <c r="AQ21" t="str">
        <f>IF(COUNTIF([1]Country_Classifications!$B$2:$B$40, $A21)&gt;0, "Africa", "Others")</f>
        <v>Others</v>
      </c>
    </row>
    <row r="22" spans="1:43" ht="15.75" hidden="1" customHeight="1" x14ac:dyDescent="0.35">
      <c r="A22" s="3" t="s">
        <v>38</v>
      </c>
      <c r="B22" s="4" t="s">
        <v>39</v>
      </c>
      <c r="C22" s="5">
        <v>63.3</v>
      </c>
      <c r="D22" s="5">
        <v>68.069999999999993</v>
      </c>
      <c r="E22" s="5">
        <v>72.73</v>
      </c>
      <c r="F22" s="5">
        <v>90.15</v>
      </c>
      <c r="G22" s="5">
        <v>75.760000000000005</v>
      </c>
      <c r="H22" s="5">
        <v>72.73</v>
      </c>
      <c r="I22" s="5">
        <v>72.73</v>
      </c>
      <c r="J22" s="5">
        <v>20</v>
      </c>
      <c r="K22" s="5">
        <v>74.239999999999995</v>
      </c>
      <c r="L22" s="5">
        <v>80.3</v>
      </c>
      <c r="M22" s="5">
        <v>93.94</v>
      </c>
      <c r="N22" s="5">
        <v>94.7</v>
      </c>
      <c r="O22" s="5">
        <v>71.59</v>
      </c>
      <c r="P22" s="5">
        <v>51.14</v>
      </c>
      <c r="Q22" s="5">
        <v>63.64</v>
      </c>
      <c r="R22" s="5">
        <v>46.88</v>
      </c>
      <c r="S22" s="5">
        <v>74.239999999999995</v>
      </c>
      <c r="T22" s="5">
        <v>20.34</v>
      </c>
      <c r="U22" s="5">
        <v>71.59</v>
      </c>
      <c r="V22" s="5">
        <v>7.69</v>
      </c>
      <c r="W22" s="5">
        <v>76.92</v>
      </c>
      <c r="X22" s="5">
        <v>51.28</v>
      </c>
      <c r="Y22" s="5">
        <v>35.159999999999997</v>
      </c>
      <c r="Z22" s="5">
        <v>90</v>
      </c>
      <c r="AA22" s="5">
        <v>63.29</v>
      </c>
      <c r="AB22" s="5">
        <v>71.87</v>
      </c>
      <c r="AC22" s="5">
        <v>100</v>
      </c>
      <c r="AD22" s="5">
        <v>89.45</v>
      </c>
      <c r="AE22" s="5">
        <v>42.34</v>
      </c>
      <c r="AF22" s="5">
        <v>87.73</v>
      </c>
      <c r="AG22" s="5">
        <v>27.95</v>
      </c>
      <c r="AH22" s="5">
        <v>96.37</v>
      </c>
      <c r="AI22" s="5">
        <v>58.4</v>
      </c>
      <c r="AJ22" s="5">
        <v>87.5</v>
      </c>
      <c r="AK22" s="5">
        <v>96.61</v>
      </c>
      <c r="AL22" s="5">
        <v>44.25</v>
      </c>
      <c r="AM22" s="5">
        <v>86.37</v>
      </c>
      <c r="AN22" s="5">
        <v>99.06</v>
      </c>
      <c r="AO22" s="5">
        <v>63.67</v>
      </c>
      <c r="AP22" s="5">
        <v>0.93</v>
      </c>
      <c r="AQ22" t="str">
        <f>IF(COUNTIF([1]Country_Classifications!$B$2:$B$40, $A22)&gt;0, "Africa", "Others")</f>
        <v>Others</v>
      </c>
    </row>
    <row r="23" spans="1:43" ht="15.75" hidden="1" customHeight="1" x14ac:dyDescent="0.35">
      <c r="A23" s="3" t="s">
        <v>220</v>
      </c>
      <c r="B23" s="4" t="s">
        <v>221</v>
      </c>
      <c r="C23" s="5">
        <v>20.18</v>
      </c>
      <c r="D23" s="5">
        <v>20.18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9.09</v>
      </c>
      <c r="N23" s="5">
        <v>9.09</v>
      </c>
      <c r="O23" s="5">
        <v>0</v>
      </c>
      <c r="P23" s="5">
        <v>0</v>
      </c>
      <c r="Q23" s="5">
        <v>0</v>
      </c>
      <c r="R23" s="5">
        <v>9.09</v>
      </c>
      <c r="S23" s="5">
        <v>0</v>
      </c>
      <c r="T23" s="5">
        <v>0</v>
      </c>
      <c r="U23" s="5">
        <v>9.09</v>
      </c>
      <c r="V23" s="5">
        <v>7.69</v>
      </c>
      <c r="W23" s="5">
        <v>0</v>
      </c>
      <c r="X23" s="5">
        <v>0</v>
      </c>
      <c r="Y23" s="5">
        <v>0</v>
      </c>
      <c r="Z23" s="5">
        <v>40</v>
      </c>
      <c r="AA23" s="5">
        <v>79.709999999999994</v>
      </c>
      <c r="AB23" s="5">
        <v>57.2</v>
      </c>
      <c r="AC23" s="5">
        <v>97.8</v>
      </c>
      <c r="AD23" s="5">
        <v>9.01</v>
      </c>
      <c r="AE23" s="5">
        <v>70.599999999999994</v>
      </c>
      <c r="AF23" s="5">
        <v>81.33</v>
      </c>
      <c r="AG23" s="5">
        <v>74.59</v>
      </c>
      <c r="AH23" s="5">
        <v>33.44</v>
      </c>
      <c r="AI23" s="5">
        <v>33.4</v>
      </c>
      <c r="AJ23" s="5">
        <v>37.5</v>
      </c>
      <c r="AK23" s="5">
        <v>64.62</v>
      </c>
      <c r="AL23" s="5">
        <v>65.040000000000006</v>
      </c>
      <c r="AM23" s="5">
        <v>87.42</v>
      </c>
      <c r="AN23" s="5">
        <v>48</v>
      </c>
      <c r="AO23" s="5">
        <v>29.14</v>
      </c>
      <c r="AP23" s="5">
        <v>1</v>
      </c>
      <c r="AQ23" t="str">
        <f>IF(COUNTIF([1]Country_Classifications!$B$2:$B$40, $A23)&gt;0, "Africa", "Others")</f>
        <v>Others</v>
      </c>
    </row>
    <row r="24" spans="1:43" ht="15.75" hidden="1" customHeight="1" x14ac:dyDescent="0.35">
      <c r="A24" s="3" t="s">
        <v>204</v>
      </c>
      <c r="B24" s="4" t="s">
        <v>205</v>
      </c>
      <c r="C24" s="5">
        <v>23.35</v>
      </c>
      <c r="D24" s="5">
        <v>23.35</v>
      </c>
      <c r="E24" s="5">
        <v>9.09</v>
      </c>
      <c r="F24" s="5">
        <v>47.73</v>
      </c>
      <c r="G24" s="5">
        <v>9.09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58.52</v>
      </c>
      <c r="P24" s="5">
        <v>0</v>
      </c>
      <c r="Q24" s="5">
        <v>0</v>
      </c>
      <c r="R24" s="5">
        <v>0</v>
      </c>
      <c r="S24" s="5">
        <v>9.09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53.99</v>
      </c>
      <c r="AB24" s="5">
        <v>33.76</v>
      </c>
      <c r="AC24" s="5">
        <v>100</v>
      </c>
      <c r="AD24" s="5">
        <v>100</v>
      </c>
      <c r="AE24" s="5">
        <v>72.099999999999994</v>
      </c>
      <c r="AF24" s="5">
        <v>54.13</v>
      </c>
      <c r="AG24" s="5">
        <v>26.56</v>
      </c>
      <c r="AH24" s="5">
        <v>58.81</v>
      </c>
      <c r="AI24" s="5">
        <v>33.4</v>
      </c>
      <c r="AJ24" s="5">
        <v>37.5</v>
      </c>
      <c r="AK24" s="5">
        <v>87.08</v>
      </c>
      <c r="AL24" s="5">
        <v>87.3</v>
      </c>
      <c r="AM24" s="5">
        <v>64.489999999999995</v>
      </c>
      <c r="AN24" s="5">
        <v>86.64</v>
      </c>
      <c r="AO24" s="5">
        <v>29.26</v>
      </c>
      <c r="AP24" s="5">
        <v>1</v>
      </c>
      <c r="AQ24" t="str">
        <f>IF(COUNTIF([1]Country_Classifications!$B$2:$B$40, $A24)&gt;0, "Africa", "Others")</f>
        <v>Others</v>
      </c>
    </row>
    <row r="25" spans="1:43" ht="15.75" customHeight="1" x14ac:dyDescent="0.35">
      <c r="A25" s="3" t="s">
        <v>206</v>
      </c>
      <c r="B25" s="4" t="s">
        <v>207</v>
      </c>
      <c r="C25" s="5">
        <v>23.05</v>
      </c>
      <c r="D25" s="5">
        <v>23.05</v>
      </c>
      <c r="E25" s="5">
        <v>0</v>
      </c>
      <c r="F25" s="5">
        <v>0</v>
      </c>
      <c r="G25" s="5">
        <v>0</v>
      </c>
      <c r="H25" s="5">
        <v>63.64</v>
      </c>
      <c r="I25" s="5">
        <v>0</v>
      </c>
      <c r="J25" s="5">
        <v>64.39</v>
      </c>
      <c r="K25" s="5">
        <v>0</v>
      </c>
      <c r="L25" s="5">
        <v>0</v>
      </c>
      <c r="M25" s="5">
        <v>0</v>
      </c>
      <c r="N25" s="5">
        <v>9.09</v>
      </c>
      <c r="O25" s="5">
        <v>0</v>
      </c>
      <c r="P25" s="5">
        <v>64.39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20.51</v>
      </c>
      <c r="Y25" s="5">
        <v>0</v>
      </c>
      <c r="Z25" s="5">
        <v>0</v>
      </c>
      <c r="AA25" s="5">
        <v>56.04</v>
      </c>
      <c r="AB25" s="5">
        <v>49.86</v>
      </c>
      <c r="AC25" s="5">
        <v>81.13</v>
      </c>
      <c r="AD25" s="5">
        <v>0.28999999999999998</v>
      </c>
      <c r="AE25" s="5">
        <v>60.59</v>
      </c>
      <c r="AF25" s="5">
        <v>59.47</v>
      </c>
      <c r="AG25" s="5">
        <v>46.92</v>
      </c>
      <c r="AH25" s="5">
        <v>77.69</v>
      </c>
      <c r="AI25" s="5">
        <v>41.8</v>
      </c>
      <c r="AJ25" s="5">
        <v>87.5</v>
      </c>
      <c r="AK25" s="5">
        <v>94.07</v>
      </c>
      <c r="AL25" s="5">
        <v>77.78</v>
      </c>
      <c r="AM25" s="5">
        <v>71.77</v>
      </c>
      <c r="AN25" s="5">
        <v>62.09</v>
      </c>
      <c r="AO25" s="5">
        <v>26.22</v>
      </c>
      <c r="AP25" s="5">
        <v>1</v>
      </c>
      <c r="AQ25" t="str">
        <f>IF(COUNTIF([1]Country_Classifications!$B$2:$B$40, $A25)&gt;0, "Africa", "Others")</f>
        <v>Africa</v>
      </c>
    </row>
    <row r="26" spans="1:43" ht="15.75" customHeight="1" x14ac:dyDescent="0.35">
      <c r="A26" s="3" t="s">
        <v>280</v>
      </c>
      <c r="B26" s="4" t="s">
        <v>281</v>
      </c>
      <c r="C26" s="5">
        <v>9.44</v>
      </c>
      <c r="D26" s="5">
        <v>9.44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9.09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15.38</v>
      </c>
      <c r="W26" s="5">
        <v>15.38</v>
      </c>
      <c r="X26" s="5">
        <v>10.26</v>
      </c>
      <c r="Y26" s="5">
        <v>0</v>
      </c>
      <c r="Z26" s="5">
        <v>0</v>
      </c>
      <c r="AA26" s="5">
        <v>11.84</v>
      </c>
      <c r="AB26" s="5">
        <v>4.83</v>
      </c>
      <c r="AC26" s="5">
        <v>0</v>
      </c>
      <c r="AD26" s="5">
        <v>100</v>
      </c>
      <c r="AE26" s="5">
        <v>11.81</v>
      </c>
      <c r="AF26" s="5">
        <v>25.87</v>
      </c>
      <c r="AG26" s="5">
        <v>25.91</v>
      </c>
      <c r="AH26" s="5">
        <v>0</v>
      </c>
      <c r="AI26" s="5">
        <v>8.4</v>
      </c>
      <c r="AJ26" s="5">
        <v>12.5</v>
      </c>
      <c r="AK26" s="5">
        <v>66.95</v>
      </c>
      <c r="AL26" s="5">
        <v>24.01</v>
      </c>
      <c r="AM26" s="5">
        <v>47.65</v>
      </c>
      <c r="AN26" s="5">
        <v>26.11</v>
      </c>
      <c r="AO26" s="5">
        <v>9.73</v>
      </c>
      <c r="AP26" s="5">
        <v>1</v>
      </c>
      <c r="AQ26" t="str">
        <f>IF(COUNTIF([1]Country_Classifications!$B$2:$B$40, $A26)&gt;0, "Africa", "Others")</f>
        <v>Africa</v>
      </c>
    </row>
    <row r="27" spans="1:43" ht="15.75" hidden="1" customHeight="1" x14ac:dyDescent="0.35">
      <c r="A27" s="3" t="s">
        <v>68</v>
      </c>
      <c r="B27" s="4" t="s">
        <v>69</v>
      </c>
      <c r="C27" s="5">
        <v>55.09</v>
      </c>
      <c r="D27" s="5">
        <v>57.39</v>
      </c>
      <c r="E27" s="5">
        <v>60.08</v>
      </c>
      <c r="F27" s="5">
        <v>29.55</v>
      </c>
      <c r="G27" s="5">
        <v>49.24</v>
      </c>
      <c r="H27" s="5">
        <v>59.62</v>
      </c>
      <c r="I27" s="5">
        <v>59.28</v>
      </c>
      <c r="J27" s="5">
        <v>49.05</v>
      </c>
      <c r="K27" s="5">
        <v>37.22</v>
      </c>
      <c r="L27" s="5">
        <v>9.09</v>
      </c>
      <c r="M27" s="5">
        <v>67.42</v>
      </c>
      <c r="N27" s="5">
        <v>0</v>
      </c>
      <c r="O27" s="5">
        <v>39.770000000000003</v>
      </c>
      <c r="P27" s="5">
        <v>40.11</v>
      </c>
      <c r="Q27" s="5">
        <v>40.799999999999997</v>
      </c>
      <c r="R27" s="5">
        <v>46.02</v>
      </c>
      <c r="S27" s="5">
        <v>55.74</v>
      </c>
      <c r="T27" s="5">
        <v>72.5</v>
      </c>
      <c r="U27" s="5">
        <v>72.5</v>
      </c>
      <c r="V27" s="5">
        <v>53.85</v>
      </c>
      <c r="W27" s="5">
        <v>23.08</v>
      </c>
      <c r="X27" s="5">
        <v>51.28</v>
      </c>
      <c r="Y27" s="5">
        <v>8.7899999999999991</v>
      </c>
      <c r="Z27" s="5">
        <v>42.5</v>
      </c>
      <c r="AA27" s="5">
        <v>73.67</v>
      </c>
      <c r="AB27" s="5">
        <v>88.9</v>
      </c>
      <c r="AC27" s="5">
        <v>95.06</v>
      </c>
      <c r="AD27" s="5">
        <v>77.69</v>
      </c>
      <c r="AE27" s="5">
        <v>88.24</v>
      </c>
      <c r="AF27" s="5">
        <v>96.8</v>
      </c>
      <c r="AG27" s="5">
        <v>74.540000000000006</v>
      </c>
      <c r="AH27" s="5">
        <v>92.84</v>
      </c>
      <c r="AI27" s="5">
        <v>83.4</v>
      </c>
      <c r="AJ27" s="5">
        <v>93.75</v>
      </c>
      <c r="AK27" s="5">
        <v>94.28</v>
      </c>
      <c r="AL27" s="5">
        <v>89.37</v>
      </c>
      <c r="AM27" s="5">
        <v>85.21</v>
      </c>
      <c r="AN27" s="5">
        <v>96.87</v>
      </c>
      <c r="AO27" s="5">
        <v>82.06</v>
      </c>
      <c r="AP27" s="5">
        <v>0.96</v>
      </c>
      <c r="AQ27" t="str">
        <f>IF(COUNTIF([1]Country_Classifications!$B$2:$B$40, $A27)&gt;0, "Africa", "Others")</f>
        <v>Others</v>
      </c>
    </row>
    <row r="28" spans="1:43" ht="15.75" hidden="1" customHeight="1" x14ac:dyDescent="0.35">
      <c r="A28" s="3" t="s">
        <v>55</v>
      </c>
      <c r="B28" s="4" t="s">
        <v>56</v>
      </c>
      <c r="C28" s="5">
        <v>59.63</v>
      </c>
      <c r="D28" s="5">
        <v>59.63</v>
      </c>
      <c r="E28" s="5">
        <v>9.09</v>
      </c>
      <c r="F28" s="5">
        <v>9.09</v>
      </c>
      <c r="G28" s="5">
        <v>9.09</v>
      </c>
      <c r="H28" s="5">
        <v>76.89</v>
      </c>
      <c r="I28" s="5">
        <v>76.89</v>
      </c>
      <c r="J28" s="5">
        <v>58.71</v>
      </c>
      <c r="K28" s="5">
        <v>66.290000000000006</v>
      </c>
      <c r="L28" s="5">
        <v>78.790000000000006</v>
      </c>
      <c r="M28" s="5">
        <v>0</v>
      </c>
      <c r="N28" s="5">
        <v>0</v>
      </c>
      <c r="O28" s="5">
        <v>66.48</v>
      </c>
      <c r="P28" s="5">
        <v>81.06</v>
      </c>
      <c r="Q28" s="5">
        <v>67.8</v>
      </c>
      <c r="R28" s="5">
        <v>68.75</v>
      </c>
      <c r="S28" s="5">
        <v>48.67</v>
      </c>
      <c r="T28" s="5">
        <v>67.61</v>
      </c>
      <c r="U28" s="5">
        <v>59.09</v>
      </c>
      <c r="V28" s="5">
        <v>7.69</v>
      </c>
      <c r="W28" s="5">
        <v>55.38</v>
      </c>
      <c r="X28" s="5">
        <v>51.28</v>
      </c>
      <c r="Y28" s="5">
        <v>21.98</v>
      </c>
      <c r="Z28" s="5">
        <v>55</v>
      </c>
      <c r="AA28" s="5">
        <v>97.1</v>
      </c>
      <c r="AB28" s="5">
        <v>100</v>
      </c>
      <c r="AC28" s="5">
        <v>100</v>
      </c>
      <c r="AD28" s="5">
        <v>98.1</v>
      </c>
      <c r="AE28" s="5">
        <v>95.53</v>
      </c>
      <c r="AF28" s="5">
        <v>94.13</v>
      </c>
      <c r="AG28" s="5">
        <v>83.18</v>
      </c>
      <c r="AH28" s="5">
        <v>90.82</v>
      </c>
      <c r="AI28" s="5">
        <v>58.4</v>
      </c>
      <c r="AJ28" s="5">
        <v>100</v>
      </c>
      <c r="AK28" s="5">
        <v>96.82</v>
      </c>
      <c r="AL28" s="5">
        <v>98.44</v>
      </c>
      <c r="AM28" s="5">
        <v>100</v>
      </c>
      <c r="AN28" s="5">
        <v>85.82</v>
      </c>
      <c r="AO28" s="5">
        <v>76.7</v>
      </c>
      <c r="AP28" s="5">
        <v>1</v>
      </c>
      <c r="AQ28" t="str">
        <f>IF(COUNTIF([1]Country_Classifications!$B$2:$B$40, $A28)&gt;0, "Africa", "Others")</f>
        <v>Others</v>
      </c>
    </row>
    <row r="29" spans="1:43" ht="15.75" hidden="1" customHeight="1" x14ac:dyDescent="0.35">
      <c r="A29" s="3" t="s">
        <v>45</v>
      </c>
      <c r="B29" s="4" t="s">
        <v>46</v>
      </c>
      <c r="C29" s="5">
        <v>61.91</v>
      </c>
      <c r="D29" s="5">
        <v>64.489999999999995</v>
      </c>
      <c r="E29" s="5">
        <v>83.71</v>
      </c>
      <c r="F29" s="5">
        <v>65.53</v>
      </c>
      <c r="G29" s="5">
        <v>74.62</v>
      </c>
      <c r="H29" s="5">
        <v>67.05</v>
      </c>
      <c r="I29" s="5">
        <v>82.95</v>
      </c>
      <c r="J29" s="5">
        <v>12.27</v>
      </c>
      <c r="K29" s="5">
        <v>64.77</v>
      </c>
      <c r="L29" s="5">
        <v>80.11</v>
      </c>
      <c r="M29" s="5">
        <v>82.2</v>
      </c>
      <c r="N29" s="5">
        <v>76.14</v>
      </c>
      <c r="O29" s="5">
        <v>64.77</v>
      </c>
      <c r="P29" s="5">
        <v>10.91</v>
      </c>
      <c r="Q29" s="5">
        <v>72.349999999999994</v>
      </c>
      <c r="R29" s="5">
        <v>92.05</v>
      </c>
      <c r="S29" s="5">
        <v>72.349999999999994</v>
      </c>
      <c r="T29" s="5">
        <v>39.770000000000003</v>
      </c>
      <c r="U29" s="5">
        <v>48.86</v>
      </c>
      <c r="V29" s="5">
        <v>23.08</v>
      </c>
      <c r="W29" s="5">
        <v>15.38</v>
      </c>
      <c r="X29" s="5">
        <v>30.77</v>
      </c>
      <c r="Y29" s="5">
        <v>13.19</v>
      </c>
      <c r="Z29" s="5">
        <v>35</v>
      </c>
      <c r="AA29" s="5">
        <v>75.36</v>
      </c>
      <c r="AB29" s="5">
        <v>73.05</v>
      </c>
      <c r="AC29" s="5">
        <v>100</v>
      </c>
      <c r="AD29" s="5">
        <v>70.040000000000006</v>
      </c>
      <c r="AE29" s="5">
        <v>69.709999999999994</v>
      </c>
      <c r="AF29" s="5">
        <v>86.67</v>
      </c>
      <c r="AG29" s="5">
        <v>68.41</v>
      </c>
      <c r="AH29" s="5">
        <v>68.75</v>
      </c>
      <c r="AI29" s="5">
        <v>66.8</v>
      </c>
      <c r="AJ29" s="5">
        <v>87.5</v>
      </c>
      <c r="AK29" s="5">
        <v>78.39</v>
      </c>
      <c r="AL29" s="5">
        <v>70.61</v>
      </c>
      <c r="AM29" s="5">
        <v>84.96</v>
      </c>
      <c r="AN29" s="5">
        <v>91.06</v>
      </c>
      <c r="AO29" s="5">
        <v>69.92</v>
      </c>
      <c r="AP29" s="5">
        <v>0.96</v>
      </c>
      <c r="AQ29" t="str">
        <f>IF(COUNTIF([1]Country_Classifications!$B$2:$B$40, $A29)&gt;0, "Africa", "Others")</f>
        <v>Others</v>
      </c>
    </row>
    <row r="30" spans="1:43" ht="15.75" hidden="1" customHeight="1" x14ac:dyDescent="0.35">
      <c r="A30" s="3" t="s">
        <v>106</v>
      </c>
      <c r="B30" s="4" t="s">
        <v>107</v>
      </c>
      <c r="C30" s="5">
        <v>43.58</v>
      </c>
      <c r="D30" s="5">
        <v>48.42</v>
      </c>
      <c r="E30" s="5">
        <v>56.06</v>
      </c>
      <c r="F30" s="5">
        <v>46.97</v>
      </c>
      <c r="G30" s="5">
        <v>18.18</v>
      </c>
      <c r="H30" s="5">
        <v>61.36</v>
      </c>
      <c r="I30" s="5">
        <v>68.94</v>
      </c>
      <c r="J30" s="5">
        <v>43.18</v>
      </c>
      <c r="K30" s="5">
        <v>74.62</v>
      </c>
      <c r="L30" s="5">
        <v>38.64</v>
      </c>
      <c r="M30" s="5">
        <v>68.94</v>
      </c>
      <c r="N30" s="5">
        <v>78.790000000000006</v>
      </c>
      <c r="O30" s="5">
        <v>68.180000000000007</v>
      </c>
      <c r="P30" s="5">
        <v>86.36</v>
      </c>
      <c r="Q30" s="5">
        <v>56.82</v>
      </c>
      <c r="R30" s="5">
        <v>48.86</v>
      </c>
      <c r="S30" s="5">
        <v>65.53</v>
      </c>
      <c r="T30" s="5">
        <v>9.09</v>
      </c>
      <c r="U30" s="5">
        <v>0</v>
      </c>
      <c r="V30" s="5">
        <v>23.08</v>
      </c>
      <c r="W30" s="5">
        <v>46.15</v>
      </c>
      <c r="X30" s="5">
        <v>0</v>
      </c>
      <c r="Y30" s="5">
        <v>57.14</v>
      </c>
      <c r="Z30" s="5">
        <v>40</v>
      </c>
      <c r="AA30" s="5">
        <v>7.49</v>
      </c>
      <c r="AB30" s="5">
        <v>74.83</v>
      </c>
      <c r="AC30" s="5">
        <v>91.88</v>
      </c>
      <c r="AD30" s="5">
        <v>38.17</v>
      </c>
      <c r="AE30" s="5">
        <v>39.14</v>
      </c>
      <c r="AF30" s="5">
        <v>79.73</v>
      </c>
      <c r="AG30" s="5">
        <v>0</v>
      </c>
      <c r="AH30" s="5">
        <v>91.31</v>
      </c>
      <c r="AI30" s="5">
        <v>75</v>
      </c>
      <c r="AJ30" s="5">
        <v>37.5</v>
      </c>
      <c r="AK30" s="5">
        <v>58.05</v>
      </c>
      <c r="AL30" s="5">
        <v>61.68</v>
      </c>
      <c r="AM30" s="5">
        <v>6.71</v>
      </c>
      <c r="AN30" s="5">
        <v>77.459999999999994</v>
      </c>
      <c r="AO30" s="5">
        <v>39.53</v>
      </c>
      <c r="AP30" s="5">
        <v>0.9</v>
      </c>
      <c r="AQ30" t="str">
        <f>IF(COUNTIF([1]Country_Classifications!$B$2:$B$40, $A30)&gt;0, "Africa", "Others")</f>
        <v>Others</v>
      </c>
    </row>
    <row r="31" spans="1:43" ht="15.75" customHeight="1" x14ac:dyDescent="0.35">
      <c r="A31" s="3" t="s">
        <v>150</v>
      </c>
      <c r="B31" s="4" t="s">
        <v>151</v>
      </c>
      <c r="C31" s="5">
        <v>35.18</v>
      </c>
      <c r="D31" s="5">
        <v>35.18</v>
      </c>
      <c r="E31" s="5">
        <v>67.42</v>
      </c>
      <c r="F31" s="5">
        <v>0</v>
      </c>
      <c r="G31" s="5">
        <v>65.150000000000006</v>
      </c>
      <c r="H31" s="5">
        <v>68.180000000000007</v>
      </c>
      <c r="I31" s="5">
        <v>68.180000000000007</v>
      </c>
      <c r="J31" s="5">
        <v>65.150000000000006</v>
      </c>
      <c r="K31" s="5">
        <v>0</v>
      </c>
      <c r="L31" s="5">
        <v>0</v>
      </c>
      <c r="M31" s="5">
        <v>0</v>
      </c>
      <c r="N31" s="5">
        <v>73.48</v>
      </c>
      <c r="O31" s="5">
        <v>65.34</v>
      </c>
      <c r="P31" s="5">
        <v>0</v>
      </c>
      <c r="Q31" s="5">
        <v>0</v>
      </c>
      <c r="R31" s="5">
        <v>0</v>
      </c>
      <c r="S31" s="5">
        <v>64.39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45</v>
      </c>
      <c r="AA31" s="5">
        <v>26.69</v>
      </c>
      <c r="AB31" s="5">
        <v>40.64</v>
      </c>
      <c r="AC31" s="5">
        <v>60.87</v>
      </c>
      <c r="AD31" s="5">
        <v>28.92</v>
      </c>
      <c r="AE31" s="5">
        <v>39.17</v>
      </c>
      <c r="AF31" s="5">
        <v>60.53</v>
      </c>
      <c r="AG31" s="5">
        <v>50.64</v>
      </c>
      <c r="AH31" s="5">
        <v>77.900000000000006</v>
      </c>
      <c r="AI31" s="5">
        <v>91.8</v>
      </c>
      <c r="AJ31" s="5">
        <v>37.5</v>
      </c>
      <c r="AK31" s="5">
        <v>89.41</v>
      </c>
      <c r="AL31" s="5">
        <v>62.93</v>
      </c>
      <c r="AM31" s="5">
        <v>64.739999999999995</v>
      </c>
      <c r="AN31" s="5">
        <v>78.430000000000007</v>
      </c>
      <c r="AO31" s="5">
        <v>16.87</v>
      </c>
      <c r="AP31" s="5">
        <v>1</v>
      </c>
      <c r="AQ31" t="str">
        <f>IF(COUNTIF([1]Country_Classifications!$B$2:$B$40, $A31)&gt;0, "Africa", "Others")</f>
        <v>Africa</v>
      </c>
    </row>
    <row r="32" spans="1:43" ht="15.75" customHeight="1" x14ac:dyDescent="0.35">
      <c r="A32" s="3" t="s">
        <v>260</v>
      </c>
      <c r="B32" s="4" t="s">
        <v>261</v>
      </c>
      <c r="C32" s="5">
        <v>13.53</v>
      </c>
      <c r="D32" s="5">
        <v>13.53</v>
      </c>
      <c r="E32" s="5">
        <v>0</v>
      </c>
      <c r="F32" s="5">
        <v>0</v>
      </c>
      <c r="G32" s="5">
        <v>9.09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10.26</v>
      </c>
      <c r="Y32" s="5">
        <v>0</v>
      </c>
      <c r="Z32" s="5">
        <v>0</v>
      </c>
      <c r="AA32" s="5">
        <v>19.57</v>
      </c>
      <c r="AB32" s="5">
        <v>26.87</v>
      </c>
      <c r="AC32" s="5">
        <v>87.23</v>
      </c>
      <c r="AD32" s="5">
        <v>73.14</v>
      </c>
      <c r="AE32" s="5">
        <v>22.91</v>
      </c>
      <c r="AF32" s="5">
        <v>51.73</v>
      </c>
      <c r="AG32" s="5">
        <v>27.77</v>
      </c>
      <c r="AH32" s="5">
        <v>63.81</v>
      </c>
      <c r="AI32" s="5">
        <v>50</v>
      </c>
      <c r="AJ32" s="5">
        <v>0</v>
      </c>
      <c r="AK32" s="5">
        <v>92.58</v>
      </c>
      <c r="AL32" s="5">
        <v>34.54</v>
      </c>
      <c r="AM32" s="5">
        <v>48.07</v>
      </c>
      <c r="AN32" s="5">
        <v>47.43</v>
      </c>
      <c r="AO32" s="5">
        <v>11.05</v>
      </c>
      <c r="AP32" s="5">
        <v>1</v>
      </c>
      <c r="AQ32" t="str">
        <f>IF(COUNTIF([1]Country_Classifications!$B$2:$B$40, $A32)&gt;0, "Africa", "Others")</f>
        <v>Africa</v>
      </c>
    </row>
    <row r="33" spans="1:43" ht="15.75" customHeight="1" x14ac:dyDescent="0.35">
      <c r="A33" s="3" t="s">
        <v>278</v>
      </c>
      <c r="B33" s="4" t="s">
        <v>279</v>
      </c>
      <c r="C33" s="5">
        <v>11.21</v>
      </c>
      <c r="D33" s="5">
        <v>11.21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8.7899999999999991</v>
      </c>
      <c r="Z33" s="5">
        <v>0</v>
      </c>
      <c r="AA33" s="5">
        <v>17.03</v>
      </c>
      <c r="AB33" s="5">
        <v>13.07</v>
      </c>
      <c r="AC33" s="5">
        <v>20</v>
      </c>
      <c r="AD33" s="5">
        <v>100</v>
      </c>
      <c r="AE33" s="5">
        <v>13.93</v>
      </c>
      <c r="AF33" s="5">
        <v>32</v>
      </c>
      <c r="AG33" s="5">
        <v>25.91</v>
      </c>
      <c r="AH33" s="5">
        <v>54.59</v>
      </c>
      <c r="AI33" s="5">
        <v>16.8</v>
      </c>
      <c r="AJ33" s="5">
        <v>62.5</v>
      </c>
      <c r="AK33" s="5">
        <v>63.14</v>
      </c>
      <c r="AL33" s="5">
        <v>6.53</v>
      </c>
      <c r="AM33" s="5">
        <v>56.37</v>
      </c>
      <c r="AN33" s="5">
        <v>58.91</v>
      </c>
      <c r="AO33" s="5">
        <v>6.47</v>
      </c>
      <c r="AP33" s="5">
        <v>1</v>
      </c>
      <c r="AQ33" t="str">
        <f>IF(COUNTIF([1]Country_Classifications!$B$2:$B$40, $A33)&gt;0, "Africa", "Others")</f>
        <v>Africa</v>
      </c>
    </row>
    <row r="34" spans="1:43" ht="15.75" customHeight="1" x14ac:dyDescent="0.35">
      <c r="A34" s="3" t="s">
        <v>284</v>
      </c>
      <c r="B34" s="4" t="s">
        <v>285</v>
      </c>
      <c r="C34" s="5">
        <v>8.73</v>
      </c>
      <c r="D34" s="5">
        <v>8.73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9.09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7.69</v>
      </c>
      <c r="W34" s="5">
        <v>0</v>
      </c>
      <c r="X34" s="5">
        <v>20.51</v>
      </c>
      <c r="Y34" s="5">
        <v>0</v>
      </c>
      <c r="Z34" s="5">
        <v>0</v>
      </c>
      <c r="AA34" s="5">
        <v>10.99</v>
      </c>
      <c r="AB34" s="5">
        <v>0</v>
      </c>
      <c r="AC34" s="5">
        <v>20</v>
      </c>
      <c r="AD34" s="5">
        <v>20.88</v>
      </c>
      <c r="AE34" s="5">
        <v>24.72</v>
      </c>
      <c r="AF34" s="5">
        <v>45.07</v>
      </c>
      <c r="AG34" s="5">
        <v>21.42</v>
      </c>
      <c r="AH34" s="5">
        <v>23.99</v>
      </c>
      <c r="AI34" s="5">
        <v>50.2</v>
      </c>
      <c r="AJ34" s="5">
        <v>12.5</v>
      </c>
      <c r="AK34" s="5">
        <v>83.9</v>
      </c>
      <c r="AL34" s="5">
        <v>59.89</v>
      </c>
      <c r="AM34" s="5">
        <v>34.770000000000003</v>
      </c>
      <c r="AN34" s="5">
        <v>10.15</v>
      </c>
      <c r="AO34" s="5">
        <v>7.95</v>
      </c>
      <c r="AP34" s="5">
        <v>1</v>
      </c>
      <c r="AQ34" t="str">
        <f>IF(COUNTIF([1]Country_Classifications!$B$2:$B$40, $A34)&gt;0, "Africa", "Others")</f>
        <v>Africa</v>
      </c>
    </row>
    <row r="35" spans="1:43" ht="15.75" hidden="1" customHeight="1" x14ac:dyDescent="0.35">
      <c r="A35" s="3" t="s">
        <v>71</v>
      </c>
      <c r="B35" s="4" t="s">
        <v>72</v>
      </c>
      <c r="C35" s="5">
        <v>54.74</v>
      </c>
      <c r="D35" s="5">
        <v>54.74</v>
      </c>
      <c r="E35" s="5">
        <v>74.239999999999995</v>
      </c>
      <c r="F35" s="5">
        <v>75</v>
      </c>
      <c r="G35" s="5">
        <v>11.36</v>
      </c>
      <c r="H35" s="5">
        <v>29.66</v>
      </c>
      <c r="I35" s="5">
        <v>48.48</v>
      </c>
      <c r="J35" s="5">
        <v>50</v>
      </c>
      <c r="K35" s="5">
        <v>64.39</v>
      </c>
      <c r="L35" s="5">
        <v>72.73</v>
      </c>
      <c r="M35" s="5">
        <v>73.48</v>
      </c>
      <c r="N35" s="5">
        <v>73.48</v>
      </c>
      <c r="O35" s="5">
        <v>60.23</v>
      </c>
      <c r="P35" s="5">
        <v>10.61</v>
      </c>
      <c r="Q35" s="5">
        <v>64.39</v>
      </c>
      <c r="R35" s="5">
        <v>64.2</v>
      </c>
      <c r="S35" s="5">
        <v>18.18</v>
      </c>
      <c r="T35" s="5">
        <v>69.430000000000007</v>
      </c>
      <c r="U35" s="5">
        <v>64.77</v>
      </c>
      <c r="V35" s="5">
        <v>23.08</v>
      </c>
      <c r="W35" s="5">
        <v>23.08</v>
      </c>
      <c r="X35" s="5">
        <v>51.28</v>
      </c>
      <c r="Y35" s="5">
        <v>48.35</v>
      </c>
      <c r="Z35" s="5">
        <v>30</v>
      </c>
      <c r="AA35" s="5">
        <v>46.98</v>
      </c>
      <c r="AB35" s="5">
        <v>47.15</v>
      </c>
      <c r="AC35" s="5">
        <v>100</v>
      </c>
      <c r="AD35" s="5">
        <v>61.34</v>
      </c>
      <c r="AE35" s="5">
        <v>39.61</v>
      </c>
      <c r="AF35" s="5">
        <v>76.8</v>
      </c>
      <c r="AG35" s="5">
        <v>23.02</v>
      </c>
      <c r="AH35" s="5">
        <v>64.010000000000005</v>
      </c>
      <c r="AI35" s="5">
        <v>58.4</v>
      </c>
      <c r="AJ35" s="5">
        <v>87.5</v>
      </c>
      <c r="AK35" s="5">
        <v>91.95</v>
      </c>
      <c r="AL35" s="5">
        <v>33.99</v>
      </c>
      <c r="AM35" s="5">
        <v>74.09</v>
      </c>
      <c r="AN35" s="5">
        <v>74.45</v>
      </c>
      <c r="AO35" s="5">
        <v>62.7</v>
      </c>
      <c r="AP35" s="5">
        <v>1</v>
      </c>
      <c r="AQ35" t="str">
        <f>IF(COUNTIF([1]Country_Classifications!$B$2:$B$40, $A35)&gt;0, "Africa", "Others")</f>
        <v>Others</v>
      </c>
    </row>
    <row r="36" spans="1:43" ht="15.75" hidden="1" customHeight="1" x14ac:dyDescent="0.35">
      <c r="A36" s="3" t="s">
        <v>75</v>
      </c>
      <c r="B36" s="4" t="s">
        <v>76</v>
      </c>
      <c r="C36" s="5">
        <v>52.3</v>
      </c>
      <c r="D36" s="5">
        <v>52.3</v>
      </c>
      <c r="E36" s="5">
        <v>64.39</v>
      </c>
      <c r="F36" s="5">
        <v>63.64</v>
      </c>
      <c r="G36" s="5">
        <v>62.88</v>
      </c>
      <c r="H36" s="5">
        <v>65.91</v>
      </c>
      <c r="I36" s="5">
        <v>63.64</v>
      </c>
      <c r="J36" s="5">
        <v>63.64</v>
      </c>
      <c r="K36" s="5">
        <v>0</v>
      </c>
      <c r="L36" s="5">
        <v>9.09</v>
      </c>
      <c r="M36" s="5">
        <v>70.45</v>
      </c>
      <c r="N36" s="5">
        <v>73.48</v>
      </c>
      <c r="O36" s="5">
        <v>64.2</v>
      </c>
      <c r="P36" s="5">
        <v>0</v>
      </c>
      <c r="Q36" s="5">
        <v>63.64</v>
      </c>
      <c r="R36" s="5">
        <v>0</v>
      </c>
      <c r="S36" s="5">
        <v>72.73</v>
      </c>
      <c r="T36" s="5">
        <v>61.36</v>
      </c>
      <c r="U36" s="5">
        <v>0</v>
      </c>
      <c r="V36" s="5">
        <v>0</v>
      </c>
      <c r="W36" s="5">
        <v>7.69</v>
      </c>
      <c r="X36" s="5">
        <v>10.26</v>
      </c>
      <c r="Y36" s="5">
        <v>0</v>
      </c>
      <c r="Z36" s="5">
        <v>32.5</v>
      </c>
      <c r="AA36" s="5">
        <v>90.1</v>
      </c>
      <c r="AB36" s="5">
        <v>58.57</v>
      </c>
      <c r="AC36" s="5">
        <v>97.73</v>
      </c>
      <c r="AD36" s="5">
        <v>99.91</v>
      </c>
      <c r="AE36" s="5">
        <v>67.92</v>
      </c>
      <c r="AF36" s="5">
        <v>80.53</v>
      </c>
      <c r="AG36" s="5">
        <v>54.97</v>
      </c>
      <c r="AH36" s="5">
        <v>73.83</v>
      </c>
      <c r="AI36" s="5">
        <v>50.2</v>
      </c>
      <c r="AJ36" s="5">
        <v>37.5</v>
      </c>
      <c r="AK36" s="5">
        <v>95.76</v>
      </c>
      <c r="AL36" s="5">
        <v>73.180000000000007</v>
      </c>
      <c r="AM36" s="5">
        <v>91.83</v>
      </c>
      <c r="AN36" s="5">
        <v>77.08</v>
      </c>
      <c r="AO36" s="5">
        <v>58.12</v>
      </c>
      <c r="AP36" s="5">
        <v>1</v>
      </c>
      <c r="AQ36" t="str">
        <f>IF(COUNTIF([1]Country_Classifications!$B$2:$B$40, $A36)&gt;0, "Africa", "Others")</f>
        <v>Others</v>
      </c>
    </row>
    <row r="37" spans="1:43" ht="15.75" hidden="1" customHeight="1" x14ac:dyDescent="0.35">
      <c r="A37" s="3" t="s">
        <v>28</v>
      </c>
      <c r="B37" s="4" t="s">
        <v>29</v>
      </c>
      <c r="C37" s="5">
        <v>68.98</v>
      </c>
      <c r="D37" s="5">
        <v>74.17</v>
      </c>
      <c r="E37" s="5">
        <v>90.68</v>
      </c>
      <c r="F37" s="5">
        <v>80.3</v>
      </c>
      <c r="G37" s="5">
        <v>73.48</v>
      </c>
      <c r="H37" s="5">
        <v>73.86</v>
      </c>
      <c r="I37" s="5">
        <v>82.95</v>
      </c>
      <c r="J37" s="5">
        <v>73.86</v>
      </c>
      <c r="K37" s="5">
        <v>78.180000000000007</v>
      </c>
      <c r="L37" s="5">
        <v>82.27</v>
      </c>
      <c r="M37" s="5">
        <v>74.239999999999995</v>
      </c>
      <c r="N37" s="5">
        <v>77.27</v>
      </c>
      <c r="O37" s="5">
        <v>74.55</v>
      </c>
      <c r="P37" s="5">
        <v>82.95</v>
      </c>
      <c r="Q37" s="5">
        <v>73.180000000000007</v>
      </c>
      <c r="R37" s="5">
        <v>79.55</v>
      </c>
      <c r="S37" s="5">
        <v>27.84</v>
      </c>
      <c r="T37" s="5">
        <v>44.38</v>
      </c>
      <c r="U37" s="5">
        <v>75</v>
      </c>
      <c r="V37" s="5">
        <v>76.92</v>
      </c>
      <c r="W37" s="5">
        <v>30.77</v>
      </c>
      <c r="X37" s="5">
        <v>30.77</v>
      </c>
      <c r="Y37" s="5">
        <v>21.98</v>
      </c>
      <c r="Z37" s="5">
        <v>70</v>
      </c>
      <c r="AA37" s="5">
        <v>90.58</v>
      </c>
      <c r="AB37" s="5">
        <v>80.069999999999993</v>
      </c>
      <c r="AC37" s="5">
        <v>93.26</v>
      </c>
      <c r="AD37" s="5">
        <v>58.64</v>
      </c>
      <c r="AE37" s="5">
        <v>92.21</v>
      </c>
      <c r="AF37" s="5">
        <v>97.6</v>
      </c>
      <c r="AG37" s="5">
        <v>87.26</v>
      </c>
      <c r="AH37" s="5">
        <v>97.75</v>
      </c>
      <c r="AI37" s="5">
        <v>100</v>
      </c>
      <c r="AJ37" s="5">
        <v>87.5</v>
      </c>
      <c r="AK37" s="5">
        <v>96.19</v>
      </c>
      <c r="AL37" s="5">
        <v>87.44</v>
      </c>
      <c r="AM37" s="5">
        <v>85.49</v>
      </c>
      <c r="AN37" s="5">
        <v>85.82</v>
      </c>
      <c r="AO37" s="5">
        <v>78.56</v>
      </c>
      <c r="AP37" s="5">
        <v>0.93</v>
      </c>
      <c r="AQ37" t="str">
        <f>IF(COUNTIF([1]Country_Classifications!$B$2:$B$40, $A37)&gt;0, "Africa", "Others")</f>
        <v>Others</v>
      </c>
    </row>
    <row r="38" spans="1:43" ht="15.75" hidden="1" customHeight="1" x14ac:dyDescent="0.35">
      <c r="A38" s="3" t="s">
        <v>91</v>
      </c>
      <c r="B38" s="4" t="s">
        <v>92</v>
      </c>
      <c r="C38" s="5">
        <v>47.92</v>
      </c>
      <c r="D38" s="5">
        <v>47.92</v>
      </c>
      <c r="E38" s="5">
        <v>82.2</v>
      </c>
      <c r="F38" s="5">
        <v>0</v>
      </c>
      <c r="G38" s="5">
        <v>63.26</v>
      </c>
      <c r="H38" s="5">
        <v>64.02</v>
      </c>
      <c r="I38" s="5">
        <v>64.77</v>
      </c>
      <c r="J38" s="5">
        <v>0</v>
      </c>
      <c r="K38" s="5">
        <v>71.59</v>
      </c>
      <c r="L38" s="5">
        <v>9.09</v>
      </c>
      <c r="M38" s="5">
        <v>65.53</v>
      </c>
      <c r="N38" s="5">
        <v>76.14</v>
      </c>
      <c r="O38" s="5">
        <v>63.64</v>
      </c>
      <c r="P38" s="5">
        <v>63.26</v>
      </c>
      <c r="Q38" s="5">
        <v>0</v>
      </c>
      <c r="R38" s="5">
        <v>64.2</v>
      </c>
      <c r="S38" s="5">
        <v>64.77</v>
      </c>
      <c r="T38" s="5">
        <v>0</v>
      </c>
      <c r="U38" s="5">
        <v>73.86</v>
      </c>
      <c r="V38" s="5">
        <v>23.08</v>
      </c>
      <c r="W38" s="5">
        <v>7.69</v>
      </c>
      <c r="X38" s="5">
        <v>10.26</v>
      </c>
      <c r="Y38" s="5">
        <v>0</v>
      </c>
      <c r="Z38" s="5">
        <v>30</v>
      </c>
      <c r="AA38" s="5">
        <v>46.98</v>
      </c>
      <c r="AB38" s="5">
        <v>53.44</v>
      </c>
      <c r="AC38" s="5">
        <v>100</v>
      </c>
      <c r="AD38" s="5">
        <v>18.850000000000001</v>
      </c>
      <c r="AE38" s="5">
        <v>48.69</v>
      </c>
      <c r="AF38" s="5">
        <v>69.069999999999993</v>
      </c>
      <c r="AG38" s="5">
        <v>43.43</v>
      </c>
      <c r="AH38" s="5">
        <v>74.62</v>
      </c>
      <c r="AI38" s="5">
        <v>50.2</v>
      </c>
      <c r="AJ38" s="5">
        <v>37.5</v>
      </c>
      <c r="AK38" s="5">
        <v>79.66</v>
      </c>
      <c r="AL38" s="5">
        <v>66.150000000000006</v>
      </c>
      <c r="AM38" s="5">
        <v>87.47</v>
      </c>
      <c r="AN38" s="5">
        <v>79.2</v>
      </c>
      <c r="AO38" s="5">
        <v>45.79</v>
      </c>
      <c r="AP38" s="5">
        <v>1</v>
      </c>
      <c r="AQ38" t="str">
        <f>IF(COUNTIF([1]Country_Classifications!$B$2:$B$40, $A38)&gt;0, "Africa", "Others")</f>
        <v>Others</v>
      </c>
    </row>
    <row r="39" spans="1:43" ht="15.75" customHeight="1" x14ac:dyDescent="0.35">
      <c r="A39" s="3" t="s">
        <v>268</v>
      </c>
      <c r="B39" s="4" t="s">
        <v>269</v>
      </c>
      <c r="C39" s="5">
        <v>12.84</v>
      </c>
      <c r="D39" s="5">
        <v>12.84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9.09</v>
      </c>
      <c r="N39" s="5">
        <v>9.09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23.07</v>
      </c>
      <c r="AB39" s="5">
        <v>39.770000000000003</v>
      </c>
      <c r="AC39" s="5">
        <v>43.23</v>
      </c>
      <c r="AD39" s="5">
        <v>1.07</v>
      </c>
      <c r="AE39" s="5">
        <v>36.31</v>
      </c>
      <c r="AF39" s="5">
        <v>60.53</v>
      </c>
      <c r="AG39" s="5">
        <v>28.93</v>
      </c>
      <c r="AH39" s="5">
        <v>64.33</v>
      </c>
      <c r="AI39" s="5">
        <v>50.2</v>
      </c>
      <c r="AJ39" s="5">
        <v>62.5</v>
      </c>
      <c r="AK39" s="5">
        <v>79.87</v>
      </c>
      <c r="AL39" s="5">
        <v>64.03</v>
      </c>
      <c r="AM39" s="5">
        <v>38.799999999999997</v>
      </c>
      <c r="AN39" s="5">
        <v>67.290000000000006</v>
      </c>
      <c r="AO39" s="5">
        <v>10.69</v>
      </c>
      <c r="AP39" s="5">
        <v>1</v>
      </c>
      <c r="AQ39" t="str">
        <f>IF(COUNTIF([1]Country_Classifications!$B$2:$B$40, $A39)&gt;0, "Africa", "Others")</f>
        <v>Africa</v>
      </c>
    </row>
    <row r="40" spans="1:43" ht="15.75" hidden="1" customHeight="1" x14ac:dyDescent="0.35">
      <c r="A40" s="3" t="s">
        <v>214</v>
      </c>
      <c r="B40" s="4" t="s">
        <v>215</v>
      </c>
      <c r="C40" s="5">
        <v>21.75</v>
      </c>
      <c r="D40" s="5">
        <v>21.75</v>
      </c>
      <c r="E40" s="5">
        <v>12.12</v>
      </c>
      <c r="F40" s="5">
        <v>0</v>
      </c>
      <c r="G40" s="5">
        <v>0</v>
      </c>
      <c r="H40" s="5">
        <v>12.88</v>
      </c>
      <c r="I40" s="5">
        <v>11.36</v>
      </c>
      <c r="J40" s="5">
        <v>10.61</v>
      </c>
      <c r="K40" s="5">
        <v>10.61</v>
      </c>
      <c r="L40" s="5">
        <v>0</v>
      </c>
      <c r="M40" s="5">
        <v>9.09</v>
      </c>
      <c r="N40" s="5">
        <v>21.97</v>
      </c>
      <c r="O40" s="5">
        <v>0</v>
      </c>
      <c r="P40" s="5">
        <v>0</v>
      </c>
      <c r="Q40" s="5">
        <v>9.85</v>
      </c>
      <c r="R40" s="5">
        <v>0</v>
      </c>
      <c r="S40" s="5">
        <v>0</v>
      </c>
      <c r="T40" s="5">
        <v>9.09</v>
      </c>
      <c r="U40" s="5">
        <v>0</v>
      </c>
      <c r="V40" s="5">
        <v>0</v>
      </c>
      <c r="W40" s="5">
        <v>0</v>
      </c>
      <c r="X40" s="5">
        <v>20.51</v>
      </c>
      <c r="Y40" s="5">
        <v>0</v>
      </c>
      <c r="Z40" s="5">
        <v>38.75</v>
      </c>
      <c r="AA40" s="5">
        <v>30.43</v>
      </c>
      <c r="AB40" s="5">
        <v>32.5</v>
      </c>
      <c r="AC40" s="5">
        <v>100</v>
      </c>
      <c r="AD40" s="5">
        <v>72.44</v>
      </c>
      <c r="AE40" s="5">
        <v>29.85</v>
      </c>
      <c r="AF40" s="5">
        <v>41.87</v>
      </c>
      <c r="AG40" s="5">
        <v>36.26</v>
      </c>
      <c r="AH40" s="5">
        <v>86.47</v>
      </c>
      <c r="AI40" s="5">
        <v>58.4</v>
      </c>
      <c r="AJ40" s="5">
        <v>87.5</v>
      </c>
      <c r="AK40" s="5">
        <v>85.59</v>
      </c>
      <c r="AL40" s="5">
        <v>44.85</v>
      </c>
      <c r="AM40" s="5">
        <v>61.67</v>
      </c>
      <c r="AN40" s="5">
        <v>90.46</v>
      </c>
      <c r="AO40" s="5">
        <v>37.270000000000003</v>
      </c>
      <c r="AP40" s="5">
        <v>1</v>
      </c>
      <c r="AQ40" t="str">
        <f>IF(COUNTIF([1]Country_Classifications!$B$2:$B$40, $A40)&gt;0, "Africa", "Others")</f>
        <v>Others</v>
      </c>
    </row>
    <row r="41" spans="1:43" ht="15.75" customHeight="1" x14ac:dyDescent="0.35">
      <c r="A41" s="3" t="s">
        <v>118</v>
      </c>
      <c r="B41" s="4" t="s">
        <v>119</v>
      </c>
      <c r="C41" s="5">
        <v>41.26</v>
      </c>
      <c r="D41" s="5">
        <v>41.26</v>
      </c>
      <c r="E41" s="5">
        <v>9.09</v>
      </c>
      <c r="F41" s="5">
        <v>37.119999999999997</v>
      </c>
      <c r="G41" s="5">
        <v>69.7</v>
      </c>
      <c r="H41" s="5">
        <v>50</v>
      </c>
      <c r="I41" s="5">
        <v>40.15</v>
      </c>
      <c r="J41" s="5">
        <v>49.24</v>
      </c>
      <c r="K41" s="5">
        <v>11.36</v>
      </c>
      <c r="L41" s="5">
        <v>36.36</v>
      </c>
      <c r="M41" s="5">
        <v>78.03</v>
      </c>
      <c r="N41" s="5">
        <v>72.73</v>
      </c>
      <c r="O41" s="5">
        <v>49.43</v>
      </c>
      <c r="P41" s="5">
        <v>52.65</v>
      </c>
      <c r="Q41" s="5">
        <v>39.39</v>
      </c>
      <c r="R41" s="5">
        <v>9.09</v>
      </c>
      <c r="S41" s="5">
        <v>70.45</v>
      </c>
      <c r="T41" s="5">
        <v>0</v>
      </c>
      <c r="U41" s="5">
        <v>0</v>
      </c>
      <c r="V41" s="5">
        <v>7.69</v>
      </c>
      <c r="W41" s="5">
        <v>100</v>
      </c>
      <c r="X41" s="5">
        <v>20.51</v>
      </c>
      <c r="Y41" s="5">
        <v>26.37</v>
      </c>
      <c r="Z41" s="5">
        <v>47.5</v>
      </c>
      <c r="AA41" s="5">
        <v>10.87</v>
      </c>
      <c r="AB41" s="5">
        <v>55.94</v>
      </c>
      <c r="AC41" s="5">
        <v>65.8</v>
      </c>
      <c r="AD41" s="5">
        <v>11.2</v>
      </c>
      <c r="AE41" s="5">
        <v>34.99</v>
      </c>
      <c r="AF41" s="5">
        <v>63.73</v>
      </c>
      <c r="AG41" s="5">
        <v>8.2799999999999994</v>
      </c>
      <c r="AH41" s="5">
        <v>100</v>
      </c>
      <c r="AI41" s="5">
        <v>58.4</v>
      </c>
      <c r="AJ41" s="5">
        <v>87.5</v>
      </c>
      <c r="AK41" s="5">
        <v>74.790000000000006</v>
      </c>
      <c r="AL41" s="5">
        <v>58.74</v>
      </c>
      <c r="AM41" s="5">
        <v>27.24</v>
      </c>
      <c r="AN41" s="5">
        <v>96.15</v>
      </c>
      <c r="AO41" s="5">
        <v>1.1599999999999999</v>
      </c>
      <c r="AP41" s="5">
        <v>1</v>
      </c>
      <c r="AQ41" t="str">
        <f>IF(COUNTIF([1]Country_Classifications!$B$2:$B$40, $A41)&gt;0, "Africa", "Others")</f>
        <v>Africa</v>
      </c>
    </row>
    <row r="42" spans="1:43" ht="15.75" hidden="1" customHeight="1" x14ac:dyDescent="0.35">
      <c r="A42" s="3" t="s">
        <v>41</v>
      </c>
      <c r="B42" s="4" t="s">
        <v>42</v>
      </c>
      <c r="C42" s="5">
        <v>63.27</v>
      </c>
      <c r="D42" s="5">
        <v>65.91</v>
      </c>
      <c r="E42" s="5">
        <v>72.5</v>
      </c>
      <c r="F42" s="5">
        <v>80.3</v>
      </c>
      <c r="G42" s="5">
        <v>79.55</v>
      </c>
      <c r="H42" s="5">
        <v>73.86</v>
      </c>
      <c r="I42" s="5">
        <v>64.77</v>
      </c>
      <c r="J42" s="5">
        <v>64.77</v>
      </c>
      <c r="K42" s="5">
        <v>71.97</v>
      </c>
      <c r="L42" s="5">
        <v>73.180000000000007</v>
      </c>
      <c r="M42" s="5">
        <v>71.209999999999994</v>
      </c>
      <c r="N42" s="5">
        <v>72.73</v>
      </c>
      <c r="O42" s="5">
        <v>65.45</v>
      </c>
      <c r="P42" s="5">
        <v>73.86</v>
      </c>
      <c r="Q42" s="5">
        <v>73.180000000000007</v>
      </c>
      <c r="R42" s="5">
        <v>79.55</v>
      </c>
      <c r="S42" s="5">
        <v>69.7</v>
      </c>
      <c r="T42" s="5">
        <v>0</v>
      </c>
      <c r="U42" s="5">
        <v>0</v>
      </c>
      <c r="V42" s="5">
        <v>23.08</v>
      </c>
      <c r="W42" s="5">
        <v>38.46</v>
      </c>
      <c r="X42" s="5">
        <v>61.54</v>
      </c>
      <c r="Y42" s="5">
        <v>26.37</v>
      </c>
      <c r="Z42" s="5">
        <v>2.5</v>
      </c>
      <c r="AA42" s="5">
        <v>82</v>
      </c>
      <c r="AB42" s="5">
        <v>78.069999999999993</v>
      </c>
      <c r="AC42" s="5">
        <v>93.68</v>
      </c>
      <c r="AD42" s="5">
        <v>76.75</v>
      </c>
      <c r="AE42" s="5">
        <v>75.510000000000005</v>
      </c>
      <c r="AF42" s="5">
        <v>94.67</v>
      </c>
      <c r="AG42" s="5">
        <v>77.53</v>
      </c>
      <c r="AH42" s="5">
        <v>99.73</v>
      </c>
      <c r="AI42" s="5">
        <v>100</v>
      </c>
      <c r="AJ42" s="5">
        <v>87.5</v>
      </c>
      <c r="AK42" s="5">
        <v>83.26</v>
      </c>
      <c r="AL42" s="5">
        <v>85.37</v>
      </c>
      <c r="AM42" s="5">
        <v>86.89</v>
      </c>
      <c r="AN42" s="5">
        <v>84.38</v>
      </c>
      <c r="AO42" s="5">
        <v>68.8</v>
      </c>
      <c r="AP42" s="5">
        <v>0.96</v>
      </c>
      <c r="AQ42" t="str">
        <f>IF(COUNTIF([1]Country_Classifications!$B$2:$B$40, $A42)&gt;0, "Africa", "Others")</f>
        <v>Others</v>
      </c>
    </row>
    <row r="43" spans="1:43" ht="15.75" hidden="1" customHeight="1" x14ac:dyDescent="0.35">
      <c r="A43" s="3" t="s">
        <v>36</v>
      </c>
      <c r="B43" s="4" t="s">
        <v>37</v>
      </c>
      <c r="C43" s="5">
        <v>64.89</v>
      </c>
      <c r="D43" s="5">
        <v>64.89</v>
      </c>
      <c r="E43" s="5">
        <v>72.5</v>
      </c>
      <c r="F43" s="5">
        <v>89.39</v>
      </c>
      <c r="G43" s="5">
        <v>75</v>
      </c>
      <c r="H43" s="5">
        <v>73.86</v>
      </c>
      <c r="I43" s="5">
        <v>73.86</v>
      </c>
      <c r="J43" s="5">
        <v>64.77</v>
      </c>
      <c r="K43" s="5">
        <v>9.09</v>
      </c>
      <c r="L43" s="5">
        <v>73.180000000000007</v>
      </c>
      <c r="M43" s="5">
        <v>74.239999999999995</v>
      </c>
      <c r="N43" s="5">
        <v>9.09</v>
      </c>
      <c r="O43" s="5">
        <v>74.55</v>
      </c>
      <c r="P43" s="5">
        <v>73.86</v>
      </c>
      <c r="Q43" s="5">
        <v>64.09</v>
      </c>
      <c r="R43" s="5">
        <v>79.55</v>
      </c>
      <c r="S43" s="5">
        <v>72.540000000000006</v>
      </c>
      <c r="T43" s="5">
        <v>75</v>
      </c>
      <c r="U43" s="5">
        <v>9.09</v>
      </c>
      <c r="V43" s="5">
        <v>7.69</v>
      </c>
      <c r="W43" s="5">
        <v>15.38</v>
      </c>
      <c r="X43" s="5">
        <v>30.77</v>
      </c>
      <c r="Y43" s="5">
        <v>8.7899999999999991</v>
      </c>
      <c r="Z43" s="5">
        <v>0</v>
      </c>
      <c r="AA43" s="5">
        <v>95.89</v>
      </c>
      <c r="AB43" s="5">
        <v>87.73</v>
      </c>
      <c r="AC43" s="5">
        <v>100</v>
      </c>
      <c r="AD43" s="5">
        <v>55.75</v>
      </c>
      <c r="AE43" s="5">
        <v>88.86</v>
      </c>
      <c r="AF43" s="5">
        <v>91.2</v>
      </c>
      <c r="AG43" s="5">
        <v>71.099999999999994</v>
      </c>
      <c r="AH43" s="5">
        <v>94.79</v>
      </c>
      <c r="AI43" s="5">
        <v>91.8</v>
      </c>
      <c r="AJ43" s="5">
        <v>93.75</v>
      </c>
      <c r="AK43" s="5">
        <v>93.64</v>
      </c>
      <c r="AL43" s="5">
        <v>86.25</v>
      </c>
      <c r="AM43" s="5">
        <v>96.47</v>
      </c>
      <c r="AN43" s="5">
        <v>99.95</v>
      </c>
      <c r="AO43" s="5">
        <v>94.7</v>
      </c>
      <c r="AP43" s="5">
        <v>1</v>
      </c>
      <c r="AQ43" t="str">
        <f>IF(COUNTIF([1]Country_Classifications!$B$2:$B$40, $A43)&gt;0, "Africa", "Others")</f>
        <v>Others</v>
      </c>
    </row>
    <row r="44" spans="1:43" ht="15.75" customHeight="1" x14ac:dyDescent="0.35">
      <c r="A44" s="3" t="s">
        <v>168</v>
      </c>
      <c r="B44" s="4" t="s">
        <v>169</v>
      </c>
      <c r="C44" s="5">
        <v>31.33</v>
      </c>
      <c r="D44" s="5">
        <v>31.33</v>
      </c>
      <c r="E44" s="5">
        <v>0</v>
      </c>
      <c r="F44" s="5">
        <v>0</v>
      </c>
      <c r="G44" s="5">
        <v>58.71</v>
      </c>
      <c r="H44" s="5">
        <v>59.47</v>
      </c>
      <c r="I44" s="5">
        <v>65.91</v>
      </c>
      <c r="J44" s="5">
        <v>65.150000000000006</v>
      </c>
      <c r="K44" s="5">
        <v>0</v>
      </c>
      <c r="L44" s="5">
        <v>65.150000000000006</v>
      </c>
      <c r="M44" s="5">
        <v>58.71</v>
      </c>
      <c r="N44" s="5">
        <v>68.56</v>
      </c>
      <c r="O44" s="5">
        <v>69.319999999999993</v>
      </c>
      <c r="P44" s="5">
        <v>0</v>
      </c>
      <c r="Q44" s="5">
        <v>64.39</v>
      </c>
      <c r="R44" s="5">
        <v>0</v>
      </c>
      <c r="S44" s="5">
        <v>9.09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4.4000000000000004</v>
      </c>
      <c r="Z44" s="5">
        <v>0</v>
      </c>
      <c r="AA44" s="5">
        <v>17.510000000000002</v>
      </c>
      <c r="AB44" s="5">
        <v>24.97</v>
      </c>
      <c r="AC44" s="5">
        <v>19.309999999999999</v>
      </c>
      <c r="AD44" s="5">
        <v>100</v>
      </c>
      <c r="AE44" s="5">
        <v>27.84</v>
      </c>
      <c r="AF44" s="5">
        <v>26.4</v>
      </c>
      <c r="AG44" s="5">
        <v>4.21</v>
      </c>
      <c r="AH44" s="5">
        <v>75.33</v>
      </c>
      <c r="AI44" s="5">
        <v>16.8</v>
      </c>
      <c r="AJ44" s="5">
        <v>12.5</v>
      </c>
      <c r="AK44" s="5">
        <v>66.31</v>
      </c>
      <c r="AL44" s="5">
        <v>34.31</v>
      </c>
      <c r="AM44" s="5">
        <v>41</v>
      </c>
      <c r="AN44" s="5">
        <v>77.87</v>
      </c>
      <c r="AO44" s="5">
        <v>13.89</v>
      </c>
      <c r="AP44" s="5">
        <v>1</v>
      </c>
      <c r="AQ44" t="str">
        <f>IF(COUNTIF([1]Country_Classifications!$B$2:$B$40, $A44)&gt;0, "Africa", "Others")</f>
        <v>Africa</v>
      </c>
    </row>
    <row r="45" spans="1:43" ht="15.75" hidden="1" customHeight="1" x14ac:dyDescent="0.35">
      <c r="A45" s="3" t="s">
        <v>24</v>
      </c>
      <c r="B45" s="4" t="s">
        <v>25</v>
      </c>
      <c r="C45" s="5">
        <v>70.319999999999993</v>
      </c>
      <c r="D45" s="5">
        <v>75.61</v>
      </c>
      <c r="E45" s="5">
        <v>72.5</v>
      </c>
      <c r="F45" s="5">
        <v>80.3</v>
      </c>
      <c r="G45" s="5">
        <v>65.53</v>
      </c>
      <c r="H45" s="5">
        <v>73.86</v>
      </c>
      <c r="I45" s="5">
        <v>73.86</v>
      </c>
      <c r="J45" s="5">
        <v>73.86</v>
      </c>
      <c r="K45" s="5">
        <v>59.55</v>
      </c>
      <c r="L45" s="5">
        <v>73.180000000000007</v>
      </c>
      <c r="M45" s="5">
        <v>76.52</v>
      </c>
      <c r="N45" s="5">
        <v>70.45</v>
      </c>
      <c r="O45" s="5">
        <v>74.55</v>
      </c>
      <c r="P45" s="5">
        <v>73.86</v>
      </c>
      <c r="Q45" s="5">
        <v>73.180000000000007</v>
      </c>
      <c r="R45" s="5">
        <v>79.55</v>
      </c>
      <c r="S45" s="5">
        <v>70.64</v>
      </c>
      <c r="T45" s="5">
        <v>81.08</v>
      </c>
      <c r="U45" s="5">
        <v>65.34</v>
      </c>
      <c r="V45" s="5">
        <v>30.77</v>
      </c>
      <c r="W45" s="5">
        <v>80</v>
      </c>
      <c r="X45" s="5">
        <v>51.28</v>
      </c>
      <c r="Y45" s="5">
        <v>38.68</v>
      </c>
      <c r="Z45" s="5">
        <v>87.5</v>
      </c>
      <c r="AA45" s="5">
        <v>85.14</v>
      </c>
      <c r="AB45" s="5">
        <v>97.15</v>
      </c>
      <c r="AC45" s="5">
        <v>97.65</v>
      </c>
      <c r="AD45" s="5">
        <v>94.9</v>
      </c>
      <c r="AE45" s="5">
        <v>76.63</v>
      </c>
      <c r="AF45" s="5">
        <v>94.67</v>
      </c>
      <c r="AG45" s="5">
        <v>75.989999999999995</v>
      </c>
      <c r="AH45" s="5">
        <v>98.93</v>
      </c>
      <c r="AI45" s="5">
        <v>91.8</v>
      </c>
      <c r="AJ45" s="5">
        <v>87.5</v>
      </c>
      <c r="AK45" s="5">
        <v>79.45</v>
      </c>
      <c r="AL45" s="5">
        <v>67.48</v>
      </c>
      <c r="AM45" s="5">
        <v>91.25</v>
      </c>
      <c r="AN45" s="5">
        <v>86.69</v>
      </c>
      <c r="AO45" s="5">
        <v>81.599999999999994</v>
      </c>
      <c r="AP45" s="5">
        <v>0.93</v>
      </c>
      <c r="AQ45" t="str">
        <f>IF(COUNTIF([1]Country_Classifications!$B$2:$B$40, $A45)&gt;0, "Africa", "Others")</f>
        <v>Others</v>
      </c>
    </row>
    <row r="46" spans="1:43" ht="15.75" hidden="1" customHeight="1" x14ac:dyDescent="0.35">
      <c r="A46" s="3" t="s">
        <v>30</v>
      </c>
      <c r="B46" s="4" t="s">
        <v>31</v>
      </c>
      <c r="C46" s="5">
        <v>67.27</v>
      </c>
      <c r="D46" s="5">
        <v>72.33</v>
      </c>
      <c r="E46" s="5">
        <v>73.11</v>
      </c>
      <c r="F46" s="5">
        <v>87.95</v>
      </c>
      <c r="G46" s="5">
        <v>81.44</v>
      </c>
      <c r="H46" s="5">
        <v>76.819999999999993</v>
      </c>
      <c r="I46" s="5">
        <v>77.5</v>
      </c>
      <c r="J46" s="5">
        <v>77.5</v>
      </c>
      <c r="K46" s="5">
        <v>82.2</v>
      </c>
      <c r="L46" s="5">
        <v>77.5</v>
      </c>
      <c r="M46" s="5">
        <v>82.2</v>
      </c>
      <c r="N46" s="5">
        <v>83.71</v>
      </c>
      <c r="O46" s="5">
        <v>67.61</v>
      </c>
      <c r="P46" s="5">
        <v>68.41</v>
      </c>
      <c r="Q46" s="5">
        <v>70.45</v>
      </c>
      <c r="R46" s="5">
        <v>47.84</v>
      </c>
      <c r="S46" s="5">
        <v>38.26</v>
      </c>
      <c r="T46" s="5">
        <v>61.25</v>
      </c>
      <c r="U46" s="5">
        <v>48.86</v>
      </c>
      <c r="V46" s="5">
        <v>30.77</v>
      </c>
      <c r="W46" s="5">
        <v>53.85</v>
      </c>
      <c r="X46" s="5">
        <v>49.23</v>
      </c>
      <c r="Y46" s="5">
        <v>48.35</v>
      </c>
      <c r="Z46" s="5">
        <v>90</v>
      </c>
      <c r="AA46" s="5">
        <v>71.98</v>
      </c>
      <c r="AB46" s="5">
        <v>92.24</v>
      </c>
      <c r="AC46" s="5">
        <v>97.67</v>
      </c>
      <c r="AD46" s="5">
        <v>64.930000000000007</v>
      </c>
      <c r="AE46" s="5">
        <v>83.64</v>
      </c>
      <c r="AF46" s="5">
        <v>100</v>
      </c>
      <c r="AG46" s="5">
        <v>64.349999999999994</v>
      </c>
      <c r="AH46" s="5">
        <v>100</v>
      </c>
      <c r="AI46" s="5">
        <v>66.8</v>
      </c>
      <c r="AJ46" s="5">
        <v>37.5</v>
      </c>
      <c r="AK46" s="5">
        <v>96.61</v>
      </c>
      <c r="AL46" s="5">
        <v>82.8</v>
      </c>
      <c r="AM46" s="5">
        <v>77.900000000000006</v>
      </c>
      <c r="AN46" s="5">
        <v>96.18</v>
      </c>
      <c r="AO46" s="5">
        <v>87.78</v>
      </c>
      <c r="AP46" s="5">
        <v>0.93</v>
      </c>
      <c r="AQ46" t="str">
        <f>IF(COUNTIF([1]Country_Classifications!$B$2:$B$40, $A46)&gt;0, "Africa", "Others")</f>
        <v>Others</v>
      </c>
    </row>
    <row r="47" spans="1:43" ht="15.75" hidden="1" customHeight="1" x14ac:dyDescent="0.35">
      <c r="A47" s="3" t="s">
        <v>160</v>
      </c>
      <c r="B47" s="4" t="s">
        <v>161</v>
      </c>
      <c r="C47" s="5">
        <v>32.43</v>
      </c>
      <c r="D47" s="5">
        <v>32.43</v>
      </c>
      <c r="E47" s="5">
        <v>0</v>
      </c>
      <c r="F47" s="5">
        <v>0</v>
      </c>
      <c r="G47" s="5">
        <v>0</v>
      </c>
      <c r="H47" s="5">
        <v>71.97</v>
      </c>
      <c r="I47" s="5">
        <v>62.88</v>
      </c>
      <c r="J47" s="5">
        <v>61.36</v>
      </c>
      <c r="K47" s="5">
        <v>0</v>
      </c>
      <c r="L47" s="5">
        <v>0</v>
      </c>
      <c r="M47" s="5">
        <v>0</v>
      </c>
      <c r="N47" s="5">
        <v>0</v>
      </c>
      <c r="O47" s="5">
        <v>71.59</v>
      </c>
      <c r="P47" s="5">
        <v>59.32</v>
      </c>
      <c r="Q47" s="5">
        <v>70.45</v>
      </c>
      <c r="R47" s="5">
        <v>9.09</v>
      </c>
      <c r="S47" s="5">
        <v>0</v>
      </c>
      <c r="T47" s="5">
        <v>0</v>
      </c>
      <c r="U47" s="5">
        <v>0</v>
      </c>
      <c r="V47" s="5">
        <v>7.69</v>
      </c>
      <c r="W47" s="5">
        <v>0</v>
      </c>
      <c r="X47" s="5">
        <v>20.51</v>
      </c>
      <c r="Y47" s="5">
        <v>0</v>
      </c>
      <c r="Z47" s="5">
        <v>0</v>
      </c>
      <c r="AA47" s="5">
        <v>35.630000000000003</v>
      </c>
      <c r="AB47" s="5">
        <v>44.66</v>
      </c>
      <c r="AC47" s="5">
        <v>95.24</v>
      </c>
      <c r="AD47" s="5">
        <v>79.83</v>
      </c>
      <c r="AE47" s="5">
        <v>56.67</v>
      </c>
      <c r="AF47" s="5">
        <v>80.8</v>
      </c>
      <c r="AG47" s="5">
        <v>42.62</v>
      </c>
      <c r="AH47" s="5">
        <v>91.68</v>
      </c>
      <c r="AI47" s="5">
        <v>50.2</v>
      </c>
      <c r="AJ47" s="5">
        <v>93.75</v>
      </c>
      <c r="AK47" s="5">
        <v>94.28</v>
      </c>
      <c r="AL47" s="5">
        <v>57.45</v>
      </c>
      <c r="AM47" s="5">
        <v>59.33</v>
      </c>
      <c r="AN47" s="5">
        <v>70.06</v>
      </c>
      <c r="AO47" s="5">
        <v>56.09</v>
      </c>
      <c r="AP47" s="5">
        <v>1</v>
      </c>
      <c r="AQ47" t="str">
        <f>IF(COUNTIF([1]Country_Classifications!$B$2:$B$40, $A47)&gt;0, "Africa", "Others")</f>
        <v>Others</v>
      </c>
    </row>
    <row r="48" spans="1:43" ht="15.75" customHeight="1" x14ac:dyDescent="0.35">
      <c r="A48" s="3" t="s">
        <v>134</v>
      </c>
      <c r="B48" s="4" t="s">
        <v>135</v>
      </c>
      <c r="C48" s="5">
        <v>38.43</v>
      </c>
      <c r="D48" s="5">
        <v>40.03</v>
      </c>
      <c r="E48" s="5">
        <v>62.5</v>
      </c>
      <c r="F48" s="5">
        <v>0</v>
      </c>
      <c r="G48" s="5">
        <v>0</v>
      </c>
      <c r="H48" s="5">
        <v>63.26</v>
      </c>
      <c r="I48" s="5">
        <v>81.44</v>
      </c>
      <c r="J48" s="5">
        <v>83.86</v>
      </c>
      <c r="K48" s="5">
        <v>0</v>
      </c>
      <c r="L48" s="5">
        <v>0</v>
      </c>
      <c r="M48" s="5">
        <v>65.53</v>
      </c>
      <c r="N48" s="5">
        <v>67.05</v>
      </c>
      <c r="O48" s="5">
        <v>0</v>
      </c>
      <c r="P48" s="5">
        <v>55.91</v>
      </c>
      <c r="Q48" s="5">
        <v>0</v>
      </c>
      <c r="R48" s="5">
        <v>9.09</v>
      </c>
      <c r="S48" s="5">
        <v>64.77</v>
      </c>
      <c r="T48" s="5">
        <v>0</v>
      </c>
      <c r="U48" s="5">
        <v>64.2</v>
      </c>
      <c r="V48" s="5">
        <v>0</v>
      </c>
      <c r="W48" s="5">
        <v>0</v>
      </c>
      <c r="X48" s="5">
        <v>20.51</v>
      </c>
      <c r="Y48" s="5">
        <v>4.4000000000000004</v>
      </c>
      <c r="Z48" s="5">
        <v>45</v>
      </c>
      <c r="AA48" s="5">
        <v>57.61</v>
      </c>
      <c r="AB48" s="5">
        <v>25.66</v>
      </c>
      <c r="AC48" s="5">
        <v>65.38</v>
      </c>
      <c r="AD48" s="5">
        <v>36.22</v>
      </c>
      <c r="AE48" s="5">
        <v>54.38</v>
      </c>
      <c r="AF48" s="5">
        <v>48.53</v>
      </c>
      <c r="AG48" s="5">
        <v>35.61</v>
      </c>
      <c r="AH48" s="5">
        <v>99.24</v>
      </c>
      <c r="AI48" s="5">
        <v>100</v>
      </c>
      <c r="AJ48" s="5">
        <v>37.5</v>
      </c>
      <c r="AK48" s="5">
        <v>87.08</v>
      </c>
      <c r="AL48" s="5">
        <v>70.650000000000006</v>
      </c>
      <c r="AM48" s="5">
        <v>81.510000000000005</v>
      </c>
      <c r="AN48" s="5">
        <v>95.22</v>
      </c>
      <c r="AO48" s="5">
        <v>18.87</v>
      </c>
      <c r="AP48" s="5">
        <v>0.96</v>
      </c>
      <c r="AQ48" t="str">
        <f>IF(COUNTIF([1]Country_Classifications!$B$2:$B$40, $A48)&gt;0, "Africa", "Others")</f>
        <v>Africa</v>
      </c>
    </row>
    <row r="49" spans="1:43" ht="15.75" customHeight="1" x14ac:dyDescent="0.35">
      <c r="A49" s="3" t="s">
        <v>258</v>
      </c>
      <c r="B49" s="4" t="s">
        <v>259</v>
      </c>
      <c r="C49" s="5">
        <v>13.72</v>
      </c>
      <c r="D49" s="5">
        <v>13.72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9.09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16.059999999999999</v>
      </c>
      <c r="AB49" s="5">
        <v>51.39</v>
      </c>
      <c r="AC49" s="5">
        <v>50</v>
      </c>
      <c r="AD49" s="5">
        <v>75.19</v>
      </c>
      <c r="AE49" s="5">
        <v>25.45</v>
      </c>
      <c r="AF49" s="5">
        <v>13.87</v>
      </c>
      <c r="AG49" s="5">
        <v>43.87</v>
      </c>
      <c r="AH49" s="5">
        <v>54.38</v>
      </c>
      <c r="AI49" s="5">
        <v>50.2</v>
      </c>
      <c r="AJ49" s="5">
        <v>62.5</v>
      </c>
      <c r="AK49" s="5">
        <v>87.08</v>
      </c>
      <c r="AL49" s="5">
        <v>54.32</v>
      </c>
      <c r="AM49" s="5">
        <v>46.72</v>
      </c>
      <c r="AN49" s="5">
        <v>71.72</v>
      </c>
      <c r="AO49" s="5">
        <v>9.1999999999999993</v>
      </c>
      <c r="AP49" s="5">
        <v>1</v>
      </c>
      <c r="AQ49" t="str">
        <f>IF(COUNTIF([1]Country_Classifications!$B$2:$B$40, $A49)&gt;0, "Africa", "Others")</f>
        <v>Africa</v>
      </c>
    </row>
    <row r="50" spans="1:43" ht="15.75" customHeight="1" x14ac:dyDescent="0.35">
      <c r="A50" s="3" t="s">
        <v>182</v>
      </c>
      <c r="B50" s="4" t="s">
        <v>183</v>
      </c>
      <c r="C50" s="5">
        <v>28.19</v>
      </c>
      <c r="D50" s="5">
        <v>28.19</v>
      </c>
      <c r="E50" s="5">
        <v>0</v>
      </c>
      <c r="F50" s="5">
        <v>66.290000000000006</v>
      </c>
      <c r="G50" s="5">
        <v>0</v>
      </c>
      <c r="H50" s="5">
        <v>60.61</v>
      </c>
      <c r="I50" s="5">
        <v>59.85</v>
      </c>
      <c r="J50" s="5">
        <v>0</v>
      </c>
      <c r="K50" s="5">
        <v>0</v>
      </c>
      <c r="L50" s="5">
        <v>0</v>
      </c>
      <c r="M50" s="5">
        <v>59.47</v>
      </c>
      <c r="N50" s="5">
        <v>78.41</v>
      </c>
      <c r="O50" s="5">
        <v>0</v>
      </c>
      <c r="P50" s="5">
        <v>0</v>
      </c>
      <c r="Q50" s="5">
        <v>0</v>
      </c>
      <c r="R50" s="5">
        <v>74.430000000000007</v>
      </c>
      <c r="S50" s="5">
        <v>60.98</v>
      </c>
      <c r="T50" s="5">
        <v>0</v>
      </c>
      <c r="U50" s="5">
        <v>0</v>
      </c>
      <c r="V50" s="5">
        <v>0</v>
      </c>
      <c r="W50" s="5">
        <v>0</v>
      </c>
      <c r="X50" s="5">
        <v>20.51</v>
      </c>
      <c r="Y50" s="5">
        <v>0</v>
      </c>
      <c r="Z50" s="5">
        <v>0</v>
      </c>
      <c r="AA50" s="5">
        <v>52.66</v>
      </c>
      <c r="AB50" s="5">
        <v>0.86</v>
      </c>
      <c r="AC50" s="5">
        <v>84.62</v>
      </c>
      <c r="AD50" s="5">
        <v>0</v>
      </c>
      <c r="AE50" s="5">
        <v>43.59</v>
      </c>
      <c r="AF50" s="5">
        <v>32.270000000000003</v>
      </c>
      <c r="AG50" s="5">
        <v>21.9</v>
      </c>
      <c r="AH50" s="5">
        <v>59.82</v>
      </c>
      <c r="AI50" s="5">
        <v>75.2</v>
      </c>
      <c r="AJ50" s="5">
        <v>12.5</v>
      </c>
      <c r="AK50" s="5">
        <v>87.71</v>
      </c>
      <c r="AL50" s="5">
        <v>72.63</v>
      </c>
      <c r="AM50" s="5">
        <v>78.45</v>
      </c>
      <c r="AN50" s="5">
        <v>6.65</v>
      </c>
      <c r="AO50" s="5">
        <v>11.63</v>
      </c>
      <c r="AP50" s="5">
        <v>1</v>
      </c>
      <c r="AQ50" t="str">
        <f>IF(COUNTIF([1]Country_Classifications!$B$2:$B$40, $A50)&gt;0, "Africa", "Others")</f>
        <v>Africa</v>
      </c>
    </row>
    <row r="51" spans="1:43" ht="15.75" hidden="1" customHeight="1" x14ac:dyDescent="0.35">
      <c r="A51" s="3" t="s">
        <v>43</v>
      </c>
      <c r="B51" s="4" t="s">
        <v>44</v>
      </c>
      <c r="C51" s="5">
        <v>62.36</v>
      </c>
      <c r="D51" s="5">
        <v>67.05</v>
      </c>
      <c r="E51" s="5">
        <v>63.41</v>
      </c>
      <c r="F51" s="5">
        <v>71.209999999999994</v>
      </c>
      <c r="G51" s="5">
        <v>67.42</v>
      </c>
      <c r="H51" s="5">
        <v>64.77</v>
      </c>
      <c r="I51" s="5">
        <v>64.77</v>
      </c>
      <c r="J51" s="5">
        <v>64.77</v>
      </c>
      <c r="K51" s="5">
        <v>67.42</v>
      </c>
      <c r="L51" s="5">
        <v>64.09</v>
      </c>
      <c r="M51" s="5">
        <v>68.94</v>
      </c>
      <c r="N51" s="5">
        <v>70.45</v>
      </c>
      <c r="O51" s="5">
        <v>74.55</v>
      </c>
      <c r="P51" s="5">
        <v>64.77</v>
      </c>
      <c r="Q51" s="5">
        <v>64.09</v>
      </c>
      <c r="R51" s="5">
        <v>70.45</v>
      </c>
      <c r="S51" s="5">
        <v>66.67</v>
      </c>
      <c r="T51" s="5">
        <v>74.03</v>
      </c>
      <c r="U51" s="5">
        <v>63.92</v>
      </c>
      <c r="V51" s="5">
        <v>69.23</v>
      </c>
      <c r="W51" s="5">
        <v>61.54</v>
      </c>
      <c r="X51" s="5">
        <v>41.03</v>
      </c>
      <c r="Y51" s="5">
        <v>35.159999999999997</v>
      </c>
      <c r="Z51" s="5">
        <v>32.5</v>
      </c>
      <c r="AA51" s="5">
        <v>75.36</v>
      </c>
      <c r="AB51" s="5">
        <v>66.349999999999994</v>
      </c>
      <c r="AC51" s="5">
        <v>73.849999999999994</v>
      </c>
      <c r="AD51" s="5">
        <v>49.23</v>
      </c>
      <c r="AE51" s="5">
        <v>60.26</v>
      </c>
      <c r="AF51" s="5">
        <v>94.93</v>
      </c>
      <c r="AG51" s="5">
        <v>47.53</v>
      </c>
      <c r="AH51" s="5">
        <v>97.05</v>
      </c>
      <c r="AI51" s="5">
        <v>91.8</v>
      </c>
      <c r="AJ51" s="5">
        <v>87.5</v>
      </c>
      <c r="AK51" s="5">
        <v>93.43</v>
      </c>
      <c r="AL51" s="5">
        <v>76.819999999999993</v>
      </c>
      <c r="AM51" s="5">
        <v>78.53</v>
      </c>
      <c r="AN51" s="5">
        <v>93.94</v>
      </c>
      <c r="AO51" s="5">
        <v>55.48</v>
      </c>
      <c r="AP51" s="5">
        <v>0.93</v>
      </c>
      <c r="AQ51" t="str">
        <f>IF(COUNTIF([1]Country_Classifications!$B$2:$B$40, $A51)&gt;0, "Africa", "Others")</f>
        <v>Others</v>
      </c>
    </row>
    <row r="52" spans="1:43" ht="15.75" hidden="1" customHeight="1" x14ac:dyDescent="0.35">
      <c r="A52" s="3" t="s">
        <v>108</v>
      </c>
      <c r="B52" s="4" t="s">
        <v>109</v>
      </c>
      <c r="C52" s="5">
        <v>42.74</v>
      </c>
      <c r="D52" s="5">
        <v>42.74</v>
      </c>
      <c r="E52" s="5">
        <v>39.39</v>
      </c>
      <c r="F52" s="5">
        <v>39.39</v>
      </c>
      <c r="G52" s="5">
        <v>50</v>
      </c>
      <c r="H52" s="5">
        <v>40.909999999999997</v>
      </c>
      <c r="I52" s="5">
        <v>38.64</v>
      </c>
      <c r="J52" s="5">
        <v>39.39</v>
      </c>
      <c r="K52" s="5">
        <v>0</v>
      </c>
      <c r="L52" s="5">
        <v>37.880000000000003</v>
      </c>
      <c r="M52" s="5">
        <v>9.09</v>
      </c>
      <c r="N52" s="5">
        <v>46.21</v>
      </c>
      <c r="O52" s="5">
        <v>50</v>
      </c>
      <c r="P52" s="5">
        <v>37.880000000000003</v>
      </c>
      <c r="Q52" s="5">
        <v>40.15</v>
      </c>
      <c r="R52" s="5">
        <v>40.340000000000003</v>
      </c>
      <c r="S52" s="5">
        <v>9.09</v>
      </c>
      <c r="T52" s="5">
        <v>38.64</v>
      </c>
      <c r="U52" s="5">
        <v>39.770000000000003</v>
      </c>
      <c r="V52" s="5">
        <v>15.38</v>
      </c>
      <c r="W52" s="5">
        <v>0</v>
      </c>
      <c r="X52" s="5">
        <v>10.26</v>
      </c>
      <c r="Y52" s="5">
        <v>8.7899999999999991</v>
      </c>
      <c r="Z52" s="5">
        <v>40</v>
      </c>
      <c r="AA52" s="5">
        <v>24.52</v>
      </c>
      <c r="AB52" s="5">
        <v>79.19</v>
      </c>
      <c r="AC52" s="5">
        <v>100</v>
      </c>
      <c r="AD52" s="5">
        <v>1.04</v>
      </c>
      <c r="AE52" s="5">
        <v>75.25</v>
      </c>
      <c r="AF52" s="5">
        <v>98.13</v>
      </c>
      <c r="AG52" s="5">
        <v>48.54</v>
      </c>
      <c r="AH52" s="5">
        <v>99.85</v>
      </c>
      <c r="AI52" s="5">
        <v>91.8</v>
      </c>
      <c r="AJ52" s="5">
        <v>93.75</v>
      </c>
      <c r="AK52" s="5">
        <v>95.97</v>
      </c>
      <c r="AL52" s="5">
        <v>95.54</v>
      </c>
      <c r="AM52" s="5">
        <v>31.65</v>
      </c>
      <c r="AN52" s="5">
        <v>77.7</v>
      </c>
      <c r="AO52" s="5">
        <v>79.069999999999993</v>
      </c>
      <c r="AP52" s="5">
        <v>1</v>
      </c>
      <c r="AQ52" t="str">
        <f>IF(COUNTIF([1]Country_Classifications!$B$2:$B$40, $A52)&gt;0, "Africa", "Others")</f>
        <v>Others</v>
      </c>
    </row>
    <row r="53" spans="1:43" ht="15.75" hidden="1" customHeight="1" x14ac:dyDescent="0.35">
      <c r="A53" s="3" t="s">
        <v>246</v>
      </c>
      <c r="B53" s="4" t="s">
        <v>247</v>
      </c>
      <c r="C53" s="5">
        <v>15.64</v>
      </c>
      <c r="D53" s="5">
        <v>15.64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9.09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20.51</v>
      </c>
      <c r="Y53" s="5">
        <v>8.7899999999999991</v>
      </c>
      <c r="Z53" s="5">
        <v>0</v>
      </c>
      <c r="AA53" s="5">
        <v>28.99</v>
      </c>
      <c r="AB53" s="5">
        <v>36.94</v>
      </c>
      <c r="AC53" s="5">
        <v>91.04</v>
      </c>
      <c r="AD53" s="5">
        <v>55.45</v>
      </c>
      <c r="AE53" s="5">
        <v>24.76</v>
      </c>
      <c r="AF53" s="5">
        <v>55.73</v>
      </c>
      <c r="AG53" s="5">
        <v>28.95</v>
      </c>
      <c r="AH53" s="5">
        <v>24.48</v>
      </c>
      <c r="AI53" s="5">
        <v>41.8</v>
      </c>
      <c r="AJ53" s="5">
        <v>37.5</v>
      </c>
      <c r="AK53" s="5">
        <v>87.5</v>
      </c>
      <c r="AL53" s="5">
        <v>50</v>
      </c>
      <c r="AM53" s="5">
        <v>81.37</v>
      </c>
      <c r="AN53" s="5">
        <v>76.11</v>
      </c>
      <c r="AO53" s="5">
        <v>27.73</v>
      </c>
      <c r="AP53" s="5">
        <v>1</v>
      </c>
      <c r="AQ53" t="str">
        <f>IF(COUNTIF([1]Country_Classifications!$B$2:$B$40, $A53)&gt;0, "Africa", "Others")</f>
        <v>Others</v>
      </c>
    </row>
    <row r="54" spans="1:43" ht="15.75" hidden="1" customHeight="1" x14ac:dyDescent="0.35">
      <c r="A54" s="3" t="s">
        <v>89</v>
      </c>
      <c r="B54" s="4" t="s">
        <v>90</v>
      </c>
      <c r="C54" s="5">
        <v>48.12</v>
      </c>
      <c r="D54" s="5">
        <v>48.12</v>
      </c>
      <c r="E54" s="5">
        <v>72.5</v>
      </c>
      <c r="F54" s="5">
        <v>71.209999999999994</v>
      </c>
      <c r="G54" s="5">
        <v>0</v>
      </c>
      <c r="H54" s="5">
        <v>73.86</v>
      </c>
      <c r="I54" s="5">
        <v>64.77</v>
      </c>
      <c r="J54" s="5">
        <v>64.77</v>
      </c>
      <c r="K54" s="5">
        <v>0</v>
      </c>
      <c r="L54" s="5">
        <v>64.09</v>
      </c>
      <c r="M54" s="5">
        <v>41.48</v>
      </c>
      <c r="N54" s="5">
        <v>9.09</v>
      </c>
      <c r="O54" s="5">
        <v>65.45</v>
      </c>
      <c r="P54" s="5">
        <v>64.77</v>
      </c>
      <c r="Q54" s="5">
        <v>73.180000000000007</v>
      </c>
      <c r="R54" s="5">
        <v>70.45</v>
      </c>
      <c r="S54" s="5">
        <v>9.09</v>
      </c>
      <c r="T54" s="5">
        <v>0</v>
      </c>
      <c r="U54" s="5">
        <v>0</v>
      </c>
      <c r="V54" s="5">
        <v>7.69</v>
      </c>
      <c r="W54" s="5">
        <v>7.69</v>
      </c>
      <c r="X54" s="5">
        <v>0</v>
      </c>
      <c r="Y54" s="5">
        <v>13.19</v>
      </c>
      <c r="Z54" s="5">
        <v>0</v>
      </c>
      <c r="AA54" s="5">
        <v>63.65</v>
      </c>
      <c r="AB54" s="5">
        <v>81.37</v>
      </c>
      <c r="AC54" s="5">
        <v>82.02</v>
      </c>
      <c r="AD54" s="5">
        <v>73.45</v>
      </c>
      <c r="AE54" s="5">
        <v>62.17</v>
      </c>
      <c r="AF54" s="5">
        <v>81.87</v>
      </c>
      <c r="AG54" s="5">
        <v>66.16</v>
      </c>
      <c r="AH54" s="5">
        <v>87.7</v>
      </c>
      <c r="AI54" s="5">
        <v>91.8</v>
      </c>
      <c r="AJ54" s="5">
        <v>87.5</v>
      </c>
      <c r="AK54" s="5">
        <v>95.34</v>
      </c>
      <c r="AL54" s="5">
        <v>88.09</v>
      </c>
      <c r="AM54" s="5">
        <v>69.510000000000005</v>
      </c>
      <c r="AN54" s="5">
        <v>79.45</v>
      </c>
      <c r="AO54" s="5">
        <v>54.79</v>
      </c>
      <c r="AP54" s="5">
        <v>1</v>
      </c>
      <c r="AQ54" t="str">
        <f>IF(COUNTIF([1]Country_Classifications!$B$2:$B$40, $A54)&gt;0, "Africa", "Others")</f>
        <v>Others</v>
      </c>
    </row>
    <row r="55" spans="1:43" ht="15.75" hidden="1" customHeight="1" x14ac:dyDescent="0.35">
      <c r="A55" s="3" t="s">
        <v>282</v>
      </c>
      <c r="B55" s="4" t="s">
        <v>283</v>
      </c>
      <c r="C55" s="5">
        <v>8.9600000000000009</v>
      </c>
      <c r="D55" s="5">
        <v>8.9600000000000009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9.09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9.09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7.25</v>
      </c>
      <c r="AB55" s="5">
        <v>26.45</v>
      </c>
      <c r="AC55" s="5">
        <v>70.739999999999995</v>
      </c>
      <c r="AD55" s="5">
        <v>18.600000000000001</v>
      </c>
      <c r="AE55" s="5">
        <v>14.49</v>
      </c>
      <c r="AF55" s="5">
        <v>28.8</v>
      </c>
      <c r="AG55" s="5">
        <v>28.64</v>
      </c>
      <c r="AH55" s="5">
        <v>20.5</v>
      </c>
      <c r="AI55" s="5">
        <v>8.4</v>
      </c>
      <c r="AJ55" s="5">
        <v>0</v>
      </c>
      <c r="AK55" s="5">
        <v>77.75</v>
      </c>
      <c r="AL55" s="5">
        <v>32.340000000000003</v>
      </c>
      <c r="AM55" s="5">
        <v>71.25</v>
      </c>
      <c r="AN55" s="5">
        <v>6.24</v>
      </c>
      <c r="AO55" s="5">
        <v>10.39</v>
      </c>
      <c r="AP55" s="5">
        <v>1</v>
      </c>
      <c r="AQ55" t="str">
        <f>IF(COUNTIF([1]Country_Classifications!$B$2:$B$40, $A55)&gt;0, "Africa", "Others")</f>
        <v>Others</v>
      </c>
    </row>
    <row r="56" spans="1:43" ht="15.75" hidden="1" customHeight="1" x14ac:dyDescent="0.35">
      <c r="A56" s="3" t="s">
        <v>77</v>
      </c>
      <c r="B56" s="4" t="s">
        <v>78</v>
      </c>
      <c r="C56" s="5">
        <v>52.07</v>
      </c>
      <c r="D56" s="5">
        <v>52.07</v>
      </c>
      <c r="E56" s="5">
        <v>63.41</v>
      </c>
      <c r="F56" s="5">
        <v>71.209999999999994</v>
      </c>
      <c r="G56" s="5">
        <v>67.05</v>
      </c>
      <c r="H56" s="5">
        <v>64.77</v>
      </c>
      <c r="I56" s="5">
        <v>64.77</v>
      </c>
      <c r="J56" s="5">
        <v>64.77</v>
      </c>
      <c r="K56" s="5">
        <v>0</v>
      </c>
      <c r="L56" s="5">
        <v>64.09</v>
      </c>
      <c r="M56" s="5">
        <v>58.71</v>
      </c>
      <c r="N56" s="5">
        <v>30.87</v>
      </c>
      <c r="O56" s="5">
        <v>65.45</v>
      </c>
      <c r="P56" s="5">
        <v>73.86</v>
      </c>
      <c r="Q56" s="5">
        <v>64.09</v>
      </c>
      <c r="R56" s="5">
        <v>70.45</v>
      </c>
      <c r="S56" s="5">
        <v>59.47</v>
      </c>
      <c r="T56" s="5">
        <v>0</v>
      </c>
      <c r="U56" s="5">
        <v>0</v>
      </c>
      <c r="V56" s="5">
        <v>7.69</v>
      </c>
      <c r="W56" s="5">
        <v>7.69</v>
      </c>
      <c r="X56" s="5">
        <v>0</v>
      </c>
      <c r="Y56" s="5">
        <v>4.4000000000000004</v>
      </c>
      <c r="Z56" s="5">
        <v>0</v>
      </c>
      <c r="AA56" s="5">
        <v>33.82</v>
      </c>
      <c r="AB56" s="5">
        <v>77.5</v>
      </c>
      <c r="AC56" s="5">
        <v>100</v>
      </c>
      <c r="AD56" s="5">
        <v>73.63</v>
      </c>
      <c r="AE56" s="5">
        <v>57.71</v>
      </c>
      <c r="AF56" s="5">
        <v>82.67</v>
      </c>
      <c r="AG56" s="5">
        <v>42.57</v>
      </c>
      <c r="AH56" s="5">
        <v>88.08</v>
      </c>
      <c r="AI56" s="5">
        <v>100</v>
      </c>
      <c r="AJ56" s="5">
        <v>87.5</v>
      </c>
      <c r="AK56" s="5">
        <v>95.13</v>
      </c>
      <c r="AL56" s="5">
        <v>88.96</v>
      </c>
      <c r="AM56" s="5">
        <v>52.46</v>
      </c>
      <c r="AN56" s="5">
        <v>90.42</v>
      </c>
      <c r="AO56" s="5">
        <v>37.159999999999997</v>
      </c>
      <c r="AP56" s="5">
        <v>1</v>
      </c>
      <c r="AQ56" t="str">
        <f>IF(COUNTIF([1]Country_Classifications!$B$2:$B$40, $A56)&gt;0, "Africa", "Others")</f>
        <v>Others</v>
      </c>
    </row>
    <row r="57" spans="1:43" ht="15.75" hidden="1" customHeight="1" x14ac:dyDescent="0.35">
      <c r="A57" s="3" t="s">
        <v>128</v>
      </c>
      <c r="B57" s="4" t="s">
        <v>129</v>
      </c>
      <c r="C57" s="5">
        <v>38.83</v>
      </c>
      <c r="D57" s="5">
        <v>38.83</v>
      </c>
      <c r="E57" s="5">
        <v>19.7</v>
      </c>
      <c r="F57" s="5">
        <v>67.42</v>
      </c>
      <c r="G57" s="5">
        <v>0</v>
      </c>
      <c r="H57" s="5">
        <v>27.27</v>
      </c>
      <c r="I57" s="5">
        <v>37.880000000000003</v>
      </c>
      <c r="J57" s="5">
        <v>46.97</v>
      </c>
      <c r="K57" s="5">
        <v>37.880000000000003</v>
      </c>
      <c r="L57" s="5">
        <v>0</v>
      </c>
      <c r="M57" s="5">
        <v>71.209999999999994</v>
      </c>
      <c r="N57" s="5">
        <v>81.819999999999993</v>
      </c>
      <c r="O57" s="5">
        <v>45.45</v>
      </c>
      <c r="P57" s="5">
        <v>81.819999999999993</v>
      </c>
      <c r="Q57" s="5">
        <v>0</v>
      </c>
      <c r="R57" s="5">
        <v>19.32</v>
      </c>
      <c r="S57" s="5">
        <v>9.09</v>
      </c>
      <c r="T57" s="5">
        <v>0</v>
      </c>
      <c r="U57" s="5">
        <v>0</v>
      </c>
      <c r="V57" s="5">
        <v>38.46</v>
      </c>
      <c r="W57" s="5">
        <v>23.08</v>
      </c>
      <c r="X57" s="5">
        <v>10.26</v>
      </c>
      <c r="Y57" s="5">
        <v>8.7899999999999991</v>
      </c>
      <c r="Z57" s="5">
        <v>40</v>
      </c>
      <c r="AA57" s="5">
        <v>28.5</v>
      </c>
      <c r="AB57" s="5">
        <v>71.150000000000006</v>
      </c>
      <c r="AC57" s="5">
        <v>83.86</v>
      </c>
      <c r="AD57" s="5">
        <v>18.09</v>
      </c>
      <c r="AE57" s="5">
        <v>48.11</v>
      </c>
      <c r="AF57" s="5">
        <v>78.400000000000006</v>
      </c>
      <c r="AG57" s="5">
        <v>48.84</v>
      </c>
      <c r="AH57" s="5">
        <v>100</v>
      </c>
      <c r="AI57" s="5">
        <v>33.4</v>
      </c>
      <c r="AJ57" s="5">
        <v>87.5</v>
      </c>
      <c r="AK57" s="5">
        <v>51.69</v>
      </c>
      <c r="AL57" s="5">
        <v>75.8</v>
      </c>
      <c r="AM57" s="5">
        <v>63.66</v>
      </c>
      <c r="AN57" s="5">
        <v>90.48</v>
      </c>
      <c r="AO57" s="5">
        <v>40.729999999999997</v>
      </c>
      <c r="AP57" s="5">
        <v>1</v>
      </c>
      <c r="AQ57" t="str">
        <f>IF(COUNTIF([1]Country_Classifications!$B$2:$B$40, $A57)&gt;0, "Africa", "Others")</f>
        <v>Others</v>
      </c>
    </row>
    <row r="58" spans="1:43" ht="15.75" hidden="1" customHeight="1" x14ac:dyDescent="0.35">
      <c r="A58" s="3" t="s">
        <v>114</v>
      </c>
      <c r="B58" s="4" t="s">
        <v>115</v>
      </c>
      <c r="C58" s="5">
        <v>41.77</v>
      </c>
      <c r="D58" s="5">
        <v>44.91</v>
      </c>
      <c r="E58" s="5">
        <v>52.65</v>
      </c>
      <c r="F58" s="5">
        <v>67.73</v>
      </c>
      <c r="G58" s="5">
        <v>68.94</v>
      </c>
      <c r="H58" s="5">
        <v>20.45</v>
      </c>
      <c r="I58" s="5">
        <v>70.45</v>
      </c>
      <c r="J58" s="5">
        <v>31.82</v>
      </c>
      <c r="K58" s="5">
        <v>0</v>
      </c>
      <c r="L58" s="5">
        <v>10.61</v>
      </c>
      <c r="M58" s="5">
        <v>18.18</v>
      </c>
      <c r="N58" s="5">
        <v>72.349999999999994</v>
      </c>
      <c r="O58" s="5">
        <v>39.200000000000003</v>
      </c>
      <c r="P58" s="5">
        <v>53.41</v>
      </c>
      <c r="Q58" s="5">
        <v>64.39</v>
      </c>
      <c r="R58" s="5">
        <v>44.03</v>
      </c>
      <c r="S58" s="5">
        <v>29.17</v>
      </c>
      <c r="T58" s="5">
        <v>0</v>
      </c>
      <c r="U58" s="5">
        <v>37.5</v>
      </c>
      <c r="V58" s="5">
        <v>38.46</v>
      </c>
      <c r="W58" s="5">
        <v>100</v>
      </c>
      <c r="X58" s="5">
        <v>51.28</v>
      </c>
      <c r="Y58" s="5">
        <v>35.159999999999997</v>
      </c>
      <c r="Z58" s="5">
        <v>0</v>
      </c>
      <c r="AA58" s="5">
        <v>22.34</v>
      </c>
      <c r="AB58" s="5">
        <v>62.58</v>
      </c>
      <c r="AC58" s="5">
        <v>39.78</v>
      </c>
      <c r="AD58" s="5">
        <v>22.49</v>
      </c>
      <c r="AE58" s="5">
        <v>52.14</v>
      </c>
      <c r="AF58" s="5">
        <v>69.069999999999993</v>
      </c>
      <c r="AG58" s="5">
        <v>32.229999999999997</v>
      </c>
      <c r="AH58" s="5">
        <v>98.42</v>
      </c>
      <c r="AI58" s="5">
        <v>41.8</v>
      </c>
      <c r="AJ58" s="5">
        <v>100</v>
      </c>
      <c r="AK58" s="5">
        <v>92.16</v>
      </c>
      <c r="AL58" s="5">
        <v>55.43</v>
      </c>
      <c r="AM58" s="5">
        <v>48.18</v>
      </c>
      <c r="AN58" s="5">
        <v>98.17</v>
      </c>
      <c r="AO58" s="5">
        <v>53.29</v>
      </c>
      <c r="AP58" s="5">
        <v>0.93</v>
      </c>
      <c r="AQ58" t="str">
        <f>IF(COUNTIF([1]Country_Classifications!$B$2:$B$40, $A58)&gt;0, "Africa", "Others")</f>
        <v>Others</v>
      </c>
    </row>
    <row r="59" spans="1:43" ht="15.75" hidden="1" customHeight="1" x14ac:dyDescent="0.35">
      <c r="A59" s="3" t="s">
        <v>22</v>
      </c>
      <c r="B59" s="4" t="s">
        <v>23</v>
      </c>
      <c r="C59" s="5">
        <v>71.39</v>
      </c>
      <c r="D59" s="5">
        <v>71.39</v>
      </c>
      <c r="E59" s="5">
        <v>63.41</v>
      </c>
      <c r="F59" s="5">
        <v>98.48</v>
      </c>
      <c r="G59" s="5">
        <v>31.06</v>
      </c>
      <c r="H59" s="5">
        <v>73.86</v>
      </c>
      <c r="I59" s="5">
        <v>92.05</v>
      </c>
      <c r="J59" s="5">
        <v>73.86</v>
      </c>
      <c r="K59" s="5">
        <v>48.48</v>
      </c>
      <c r="L59" s="5">
        <v>82.27</v>
      </c>
      <c r="M59" s="5">
        <v>71.209999999999994</v>
      </c>
      <c r="N59" s="5">
        <v>63.64</v>
      </c>
      <c r="O59" s="5">
        <v>83.64</v>
      </c>
      <c r="P59" s="5">
        <v>69.09</v>
      </c>
      <c r="Q59" s="5">
        <v>73.180000000000007</v>
      </c>
      <c r="R59" s="5">
        <v>70.45</v>
      </c>
      <c r="S59" s="5">
        <v>63.64</v>
      </c>
      <c r="T59" s="5">
        <v>47.73</v>
      </c>
      <c r="U59" s="5">
        <v>37.5</v>
      </c>
      <c r="V59" s="5">
        <v>30.77</v>
      </c>
      <c r="W59" s="5">
        <v>38.46</v>
      </c>
      <c r="X59" s="5">
        <v>51.28</v>
      </c>
      <c r="Y59" s="5">
        <v>35.159999999999997</v>
      </c>
      <c r="Z59" s="5">
        <v>72.5</v>
      </c>
      <c r="AA59" s="5">
        <v>91.67</v>
      </c>
      <c r="AB59" s="5">
        <v>100</v>
      </c>
      <c r="AC59" s="5">
        <v>100</v>
      </c>
      <c r="AD59" s="5">
        <v>46.53</v>
      </c>
      <c r="AE59" s="5">
        <v>91.38</v>
      </c>
      <c r="AF59" s="5">
        <v>97.33</v>
      </c>
      <c r="AG59" s="5">
        <v>88.66</v>
      </c>
      <c r="AH59" s="5">
        <v>90.43</v>
      </c>
      <c r="AI59" s="5">
        <v>100</v>
      </c>
      <c r="AJ59" s="5">
        <v>87.5</v>
      </c>
      <c r="AK59" s="5">
        <v>99.15</v>
      </c>
      <c r="AL59" s="5">
        <v>100</v>
      </c>
      <c r="AM59" s="5">
        <v>96.74</v>
      </c>
      <c r="AN59" s="5">
        <v>93.73</v>
      </c>
      <c r="AO59" s="5">
        <v>92.11</v>
      </c>
      <c r="AP59" s="5">
        <v>1</v>
      </c>
      <c r="AQ59" t="str">
        <f>IF(COUNTIF([1]Country_Classifications!$B$2:$B$40, $A59)&gt;0, "Africa", "Others")</f>
        <v>Others</v>
      </c>
    </row>
    <row r="60" spans="1:43" ht="15.75" hidden="1" customHeight="1" x14ac:dyDescent="0.35">
      <c r="A60" s="3" t="s">
        <v>103</v>
      </c>
      <c r="B60" s="4" t="s">
        <v>104</v>
      </c>
      <c r="C60" s="5">
        <v>43.75</v>
      </c>
      <c r="D60" s="5">
        <v>48.07</v>
      </c>
      <c r="E60" s="5">
        <v>9.09</v>
      </c>
      <c r="F60" s="5">
        <v>30.68</v>
      </c>
      <c r="G60" s="5">
        <v>63.64</v>
      </c>
      <c r="H60" s="5">
        <v>53.41</v>
      </c>
      <c r="I60" s="5">
        <v>71.209999999999994</v>
      </c>
      <c r="J60" s="5">
        <v>62.5</v>
      </c>
      <c r="K60" s="5">
        <v>0</v>
      </c>
      <c r="L60" s="5">
        <v>0</v>
      </c>
      <c r="M60" s="5">
        <v>54.55</v>
      </c>
      <c r="N60" s="5">
        <v>66.36</v>
      </c>
      <c r="O60" s="5">
        <v>52.56</v>
      </c>
      <c r="P60" s="5">
        <v>18.18</v>
      </c>
      <c r="Q60" s="5">
        <v>53.41</v>
      </c>
      <c r="R60" s="5">
        <v>21.02</v>
      </c>
      <c r="S60" s="5">
        <v>29.17</v>
      </c>
      <c r="T60" s="5">
        <v>40.909999999999997</v>
      </c>
      <c r="U60" s="5">
        <v>49.43</v>
      </c>
      <c r="V60" s="5">
        <v>76.92</v>
      </c>
      <c r="W60" s="5">
        <v>76.92</v>
      </c>
      <c r="X60" s="5">
        <v>30.77</v>
      </c>
      <c r="Y60" s="5">
        <v>39.56</v>
      </c>
      <c r="Z60" s="5">
        <v>95</v>
      </c>
      <c r="AA60" s="5">
        <v>64.37</v>
      </c>
      <c r="AB60" s="5">
        <v>78.19</v>
      </c>
      <c r="AC60" s="5">
        <v>95.35</v>
      </c>
      <c r="AD60" s="5">
        <v>13.81</v>
      </c>
      <c r="AE60" s="5">
        <v>67.510000000000005</v>
      </c>
      <c r="AF60" s="5">
        <v>91.2</v>
      </c>
      <c r="AG60" s="5">
        <v>27.23</v>
      </c>
      <c r="AH60" s="5">
        <v>93.45</v>
      </c>
      <c r="AI60" s="5">
        <v>50.2</v>
      </c>
      <c r="AJ60" s="5">
        <v>87.5</v>
      </c>
      <c r="AK60" s="5">
        <v>59.53</v>
      </c>
      <c r="AL60" s="5">
        <v>15</v>
      </c>
      <c r="AM60" s="5">
        <v>72.19</v>
      </c>
      <c r="AN60" s="5">
        <v>74.22</v>
      </c>
      <c r="AO60" s="5">
        <v>30.97</v>
      </c>
      <c r="AP60" s="5">
        <v>0.91</v>
      </c>
      <c r="AQ60" t="str">
        <f>IF(COUNTIF([1]Country_Classifications!$B$2:$B$40, $A60)&gt;0, "Africa", "Others")</f>
        <v>Others</v>
      </c>
    </row>
    <row r="61" spans="1:43" ht="15.75" hidden="1" customHeight="1" x14ac:dyDescent="0.35">
      <c r="A61" s="3" t="s">
        <v>20</v>
      </c>
      <c r="B61" s="4" t="s">
        <v>21</v>
      </c>
      <c r="C61" s="5">
        <v>72.709999999999994</v>
      </c>
      <c r="D61" s="5">
        <v>72.709999999999994</v>
      </c>
      <c r="E61" s="5">
        <v>62.73</v>
      </c>
      <c r="F61" s="5">
        <v>73.86</v>
      </c>
      <c r="G61" s="5">
        <v>72.349999999999994</v>
      </c>
      <c r="H61" s="5">
        <v>82.95</v>
      </c>
      <c r="I61" s="5">
        <v>82.95</v>
      </c>
      <c r="J61" s="5">
        <v>74.55</v>
      </c>
      <c r="K61" s="5">
        <v>80.680000000000007</v>
      </c>
      <c r="L61" s="5">
        <v>73.180000000000007</v>
      </c>
      <c r="M61" s="5">
        <v>73.11</v>
      </c>
      <c r="N61" s="5">
        <v>73.180000000000007</v>
      </c>
      <c r="O61" s="5">
        <v>83.64</v>
      </c>
      <c r="P61" s="5">
        <v>73.86</v>
      </c>
      <c r="Q61" s="5">
        <v>73.180000000000007</v>
      </c>
      <c r="R61" s="5">
        <v>88.64</v>
      </c>
      <c r="S61" s="5">
        <v>72.88</v>
      </c>
      <c r="T61" s="5">
        <v>62.9</v>
      </c>
      <c r="U61" s="5">
        <v>63.92</v>
      </c>
      <c r="V61" s="5">
        <v>15.38</v>
      </c>
      <c r="W61" s="5">
        <v>76.92</v>
      </c>
      <c r="X61" s="5">
        <v>65.64</v>
      </c>
      <c r="Y61" s="5">
        <v>30.77</v>
      </c>
      <c r="Z61" s="5">
        <v>70</v>
      </c>
      <c r="AA61" s="5">
        <v>76.81</v>
      </c>
      <c r="AB61" s="5">
        <v>73.62</v>
      </c>
      <c r="AC61" s="5">
        <v>100</v>
      </c>
      <c r="AD61" s="5">
        <v>50.17</v>
      </c>
      <c r="AE61" s="5">
        <v>67.98</v>
      </c>
      <c r="AF61" s="5">
        <v>94.13</v>
      </c>
      <c r="AG61" s="5">
        <v>47.58</v>
      </c>
      <c r="AH61" s="5">
        <v>100</v>
      </c>
      <c r="AI61" s="5">
        <v>100</v>
      </c>
      <c r="AJ61" s="5">
        <v>93.75</v>
      </c>
      <c r="AK61" s="5">
        <v>100</v>
      </c>
      <c r="AL61" s="5">
        <v>81.510000000000005</v>
      </c>
      <c r="AM61" s="5">
        <v>79.97</v>
      </c>
      <c r="AN61" s="5">
        <v>90.07</v>
      </c>
      <c r="AO61" s="5">
        <v>64.58</v>
      </c>
      <c r="AP61" s="5">
        <v>1</v>
      </c>
      <c r="AQ61" t="str">
        <f>IF(COUNTIF([1]Country_Classifications!$B$2:$B$40, $A61)&gt;0, "Africa", "Others")</f>
        <v>Others</v>
      </c>
    </row>
    <row r="62" spans="1:43" ht="15.75" hidden="1" customHeight="1" x14ac:dyDescent="0.35">
      <c r="A62" s="3" t="s">
        <v>198</v>
      </c>
      <c r="B62" s="4" t="s">
        <v>199</v>
      </c>
      <c r="C62" s="5">
        <v>24.25</v>
      </c>
      <c r="D62" s="5">
        <v>24.25</v>
      </c>
      <c r="E62" s="5">
        <v>0</v>
      </c>
      <c r="F62" s="5">
        <v>0</v>
      </c>
      <c r="G62" s="5">
        <v>0</v>
      </c>
      <c r="H62" s="5">
        <v>9.09</v>
      </c>
      <c r="I62" s="5">
        <v>67.73</v>
      </c>
      <c r="J62" s="5">
        <v>67.05</v>
      </c>
      <c r="K62" s="5">
        <v>0</v>
      </c>
      <c r="L62" s="5">
        <v>0</v>
      </c>
      <c r="M62" s="5">
        <v>18.18</v>
      </c>
      <c r="N62" s="5">
        <v>9.09</v>
      </c>
      <c r="O62" s="5">
        <v>9.09</v>
      </c>
      <c r="P62" s="5">
        <v>0</v>
      </c>
      <c r="Q62" s="5">
        <v>0</v>
      </c>
      <c r="R62" s="5">
        <v>9.09</v>
      </c>
      <c r="S62" s="5">
        <v>9.09</v>
      </c>
      <c r="T62" s="5">
        <v>0</v>
      </c>
      <c r="U62" s="5">
        <v>0</v>
      </c>
      <c r="V62" s="5">
        <v>7.69</v>
      </c>
      <c r="W62" s="5">
        <v>0</v>
      </c>
      <c r="X62" s="5">
        <v>30.77</v>
      </c>
      <c r="Y62" s="5">
        <v>0</v>
      </c>
      <c r="Z62" s="5">
        <v>0</v>
      </c>
      <c r="AA62" s="5">
        <v>77.540000000000006</v>
      </c>
      <c r="AB62" s="5">
        <v>36.14</v>
      </c>
      <c r="AC62" s="5">
        <v>100</v>
      </c>
      <c r="AD62" s="5">
        <v>12.6</v>
      </c>
      <c r="AE62" s="5">
        <v>51.21</v>
      </c>
      <c r="AF62" s="5">
        <v>64.8</v>
      </c>
      <c r="AG62" s="5">
        <v>56.07</v>
      </c>
      <c r="AH62" s="5">
        <v>55.93</v>
      </c>
      <c r="AI62" s="5">
        <v>41.8</v>
      </c>
      <c r="AJ62" s="5">
        <v>43.75</v>
      </c>
      <c r="AK62" s="5">
        <v>75.42</v>
      </c>
      <c r="AL62" s="5">
        <v>63.8</v>
      </c>
      <c r="AM62" s="5">
        <v>91.8</v>
      </c>
      <c r="AN62" s="5">
        <v>66.73</v>
      </c>
      <c r="AO62" s="5">
        <v>40.520000000000003</v>
      </c>
      <c r="AP62" s="5">
        <v>1</v>
      </c>
      <c r="AQ62" t="str">
        <f>IF(COUNTIF([1]Country_Classifications!$B$2:$B$40, $A62)&gt;0, "Africa", "Others")</f>
        <v>Others</v>
      </c>
    </row>
    <row r="63" spans="1:43" ht="15.75" hidden="1" customHeight="1" x14ac:dyDescent="0.35">
      <c r="A63" s="3" t="s">
        <v>120</v>
      </c>
      <c r="B63" s="4" t="s">
        <v>121</v>
      </c>
      <c r="C63" s="5">
        <v>40.46</v>
      </c>
      <c r="D63" s="5">
        <v>40.46</v>
      </c>
      <c r="E63" s="5">
        <v>46.21</v>
      </c>
      <c r="F63" s="5">
        <v>0</v>
      </c>
      <c r="G63" s="5">
        <v>0</v>
      </c>
      <c r="H63" s="5">
        <v>40.15</v>
      </c>
      <c r="I63" s="5">
        <v>37.880000000000003</v>
      </c>
      <c r="J63" s="5">
        <v>46.21</v>
      </c>
      <c r="K63" s="5">
        <v>0</v>
      </c>
      <c r="L63" s="5">
        <v>62.5</v>
      </c>
      <c r="M63" s="5">
        <v>72.349999999999994</v>
      </c>
      <c r="N63" s="5">
        <v>65.53</v>
      </c>
      <c r="O63" s="5">
        <v>72.16</v>
      </c>
      <c r="P63" s="5">
        <v>46.97</v>
      </c>
      <c r="Q63" s="5">
        <v>17.05</v>
      </c>
      <c r="R63" s="5">
        <v>0</v>
      </c>
      <c r="S63" s="5">
        <v>40.72</v>
      </c>
      <c r="T63" s="5">
        <v>0</v>
      </c>
      <c r="U63" s="5">
        <v>56.82</v>
      </c>
      <c r="V63" s="5">
        <v>7.69</v>
      </c>
      <c r="W63" s="5">
        <v>0</v>
      </c>
      <c r="X63" s="5">
        <v>51.28</v>
      </c>
      <c r="Y63" s="5">
        <v>4.4000000000000004</v>
      </c>
      <c r="Z63" s="5">
        <v>57.5</v>
      </c>
      <c r="AA63" s="5">
        <v>23.55</v>
      </c>
      <c r="AB63" s="5">
        <v>54.5</v>
      </c>
      <c r="AC63" s="5">
        <v>92.86</v>
      </c>
      <c r="AD63" s="5">
        <v>24.08</v>
      </c>
      <c r="AE63" s="5">
        <v>57.14</v>
      </c>
      <c r="AF63" s="5">
        <v>74.13</v>
      </c>
      <c r="AG63" s="5">
        <v>37.21</v>
      </c>
      <c r="AH63" s="5">
        <v>98.53</v>
      </c>
      <c r="AI63" s="5">
        <v>41.8</v>
      </c>
      <c r="AJ63" s="5">
        <v>0</v>
      </c>
      <c r="AK63" s="5">
        <v>94.49</v>
      </c>
      <c r="AL63" s="5">
        <v>67.94</v>
      </c>
      <c r="AM63" s="5">
        <v>56.4</v>
      </c>
      <c r="AN63" s="5">
        <v>95.06</v>
      </c>
      <c r="AO63" s="5">
        <v>30.34</v>
      </c>
      <c r="AP63" s="5">
        <v>1</v>
      </c>
      <c r="AQ63" t="str">
        <f>IF(COUNTIF([1]Country_Classifications!$B$2:$B$40, $A63)&gt;0, "Africa", "Others")</f>
        <v>Others</v>
      </c>
    </row>
    <row r="64" spans="1:43" ht="15.75" hidden="1" customHeight="1" x14ac:dyDescent="0.35">
      <c r="A64" s="3" t="s">
        <v>66</v>
      </c>
      <c r="B64" s="4" t="s">
        <v>67</v>
      </c>
      <c r="C64" s="5">
        <v>55.66</v>
      </c>
      <c r="D64" s="5">
        <v>57.98</v>
      </c>
      <c r="E64" s="5">
        <v>73.11</v>
      </c>
      <c r="F64" s="5">
        <v>52.27</v>
      </c>
      <c r="G64" s="5">
        <v>29.55</v>
      </c>
      <c r="H64" s="5">
        <v>72.73</v>
      </c>
      <c r="I64" s="5">
        <v>70.45</v>
      </c>
      <c r="J64" s="5">
        <v>61.36</v>
      </c>
      <c r="K64" s="5">
        <v>26.48</v>
      </c>
      <c r="L64" s="5">
        <v>18.18</v>
      </c>
      <c r="M64" s="5">
        <v>69.7</v>
      </c>
      <c r="N64" s="5">
        <v>26.14</v>
      </c>
      <c r="O64" s="5">
        <v>86.93</v>
      </c>
      <c r="P64" s="5">
        <v>9.09</v>
      </c>
      <c r="Q64" s="5">
        <v>67.42</v>
      </c>
      <c r="R64" s="5">
        <v>67.61</v>
      </c>
      <c r="S64" s="5">
        <v>27.16</v>
      </c>
      <c r="T64" s="5">
        <v>44.38</v>
      </c>
      <c r="U64" s="5">
        <v>42.84</v>
      </c>
      <c r="V64" s="5">
        <v>46.15</v>
      </c>
      <c r="W64" s="5">
        <v>30.77</v>
      </c>
      <c r="X64" s="5">
        <v>41.03</v>
      </c>
      <c r="Y64" s="5">
        <v>35.159999999999997</v>
      </c>
      <c r="Z64" s="5">
        <v>85</v>
      </c>
      <c r="AA64" s="5">
        <v>89.61</v>
      </c>
      <c r="AB64" s="5">
        <v>96.58</v>
      </c>
      <c r="AC64" s="5">
        <v>77.27</v>
      </c>
      <c r="AD64" s="5">
        <v>31.29</v>
      </c>
      <c r="AE64" s="5">
        <v>89.46</v>
      </c>
      <c r="AF64" s="5">
        <v>92.8</v>
      </c>
      <c r="AG64" s="5">
        <v>74.02</v>
      </c>
      <c r="AH64" s="5">
        <v>97.45</v>
      </c>
      <c r="AI64" s="5">
        <v>83.4</v>
      </c>
      <c r="AJ64" s="5">
        <v>87.5</v>
      </c>
      <c r="AK64" s="5">
        <v>62.08</v>
      </c>
      <c r="AL64" s="5">
        <v>91.72</v>
      </c>
      <c r="AM64" s="5">
        <v>84.99</v>
      </c>
      <c r="AN64" s="5">
        <v>94.39</v>
      </c>
      <c r="AO64" s="5">
        <v>73.44</v>
      </c>
      <c r="AP64" s="5">
        <v>0.96</v>
      </c>
      <c r="AQ64" t="str">
        <f>IF(COUNTIF([1]Country_Classifications!$B$2:$B$40, $A64)&gt;0, "Africa", "Others")</f>
        <v>Others</v>
      </c>
    </row>
    <row r="65" spans="1:43" ht="15.75" hidden="1" customHeight="1" x14ac:dyDescent="0.35">
      <c r="A65" s="3" t="s">
        <v>162</v>
      </c>
      <c r="B65" s="4" t="s">
        <v>163</v>
      </c>
      <c r="C65" s="5">
        <v>32.340000000000003</v>
      </c>
      <c r="D65" s="5">
        <v>32.340000000000003</v>
      </c>
      <c r="E65" s="5">
        <v>19.7</v>
      </c>
      <c r="F65" s="5">
        <v>55.68</v>
      </c>
      <c r="G65" s="5">
        <v>68.56</v>
      </c>
      <c r="H65" s="5">
        <v>12.12</v>
      </c>
      <c r="I65" s="5">
        <v>11.36</v>
      </c>
      <c r="J65" s="5">
        <v>12.12</v>
      </c>
      <c r="K65" s="5">
        <v>9.85</v>
      </c>
      <c r="L65" s="5">
        <v>0</v>
      </c>
      <c r="M65" s="5">
        <v>69.319999999999993</v>
      </c>
      <c r="N65" s="5">
        <v>57.95</v>
      </c>
      <c r="O65" s="5">
        <v>13.07</v>
      </c>
      <c r="P65" s="5">
        <v>9.85</v>
      </c>
      <c r="Q65" s="5">
        <v>11.36</v>
      </c>
      <c r="R65" s="5">
        <v>10.23</v>
      </c>
      <c r="S65" s="5">
        <v>18.18</v>
      </c>
      <c r="T65" s="5">
        <v>0</v>
      </c>
      <c r="U65" s="5">
        <v>0</v>
      </c>
      <c r="V65" s="5">
        <v>15.38</v>
      </c>
      <c r="W65" s="5">
        <v>15.38</v>
      </c>
      <c r="X65" s="5">
        <v>20.51</v>
      </c>
      <c r="Y65" s="5">
        <v>13.19</v>
      </c>
      <c r="Z65" s="5">
        <v>0</v>
      </c>
      <c r="AA65" s="5">
        <v>22.71</v>
      </c>
      <c r="AB65" s="5">
        <v>60.35</v>
      </c>
      <c r="AC65" s="5">
        <v>100</v>
      </c>
      <c r="AD65" s="5">
        <v>15.21</v>
      </c>
      <c r="AE65" s="5">
        <v>43.9</v>
      </c>
      <c r="AF65" s="5">
        <v>82.4</v>
      </c>
      <c r="AG65" s="5">
        <v>33.630000000000003</v>
      </c>
      <c r="AH65" s="5">
        <v>93.76</v>
      </c>
      <c r="AI65" s="5">
        <v>58.4</v>
      </c>
      <c r="AJ65" s="5">
        <v>87.5</v>
      </c>
      <c r="AK65" s="5">
        <v>44.07</v>
      </c>
      <c r="AL65" s="5">
        <v>71.709999999999994</v>
      </c>
      <c r="AM65" s="5">
        <v>40.619999999999997</v>
      </c>
      <c r="AN65" s="5">
        <v>99.39</v>
      </c>
      <c r="AO65" s="5">
        <v>39.840000000000003</v>
      </c>
      <c r="AP65" s="5">
        <v>1</v>
      </c>
      <c r="AQ65" t="str">
        <f>IF(COUNTIF([1]Country_Classifications!$B$2:$B$40, $A65)&gt;0, "Africa", "Others")</f>
        <v>Others</v>
      </c>
    </row>
    <row r="66" spans="1:43" ht="15.75" customHeight="1" x14ac:dyDescent="0.35">
      <c r="A66" s="3" t="s">
        <v>122</v>
      </c>
      <c r="B66" s="4" t="s">
        <v>123</v>
      </c>
      <c r="C66" s="5">
        <v>39.53</v>
      </c>
      <c r="D66" s="5">
        <v>41.18</v>
      </c>
      <c r="E66" s="5">
        <v>0</v>
      </c>
      <c r="F66" s="5">
        <v>0</v>
      </c>
      <c r="G66" s="5">
        <v>63.64</v>
      </c>
      <c r="H66" s="5">
        <v>65.150000000000006</v>
      </c>
      <c r="I66" s="5">
        <v>0</v>
      </c>
      <c r="J66" s="5">
        <v>56.59</v>
      </c>
      <c r="K66" s="5">
        <v>71.97</v>
      </c>
      <c r="L66" s="5">
        <v>0</v>
      </c>
      <c r="M66" s="5">
        <v>70.45</v>
      </c>
      <c r="N66" s="5">
        <v>63.64</v>
      </c>
      <c r="O66" s="5">
        <v>70.45</v>
      </c>
      <c r="P66" s="5">
        <v>64.319999999999993</v>
      </c>
      <c r="Q66" s="5">
        <v>9.09</v>
      </c>
      <c r="R66" s="5">
        <v>0</v>
      </c>
      <c r="S66" s="5">
        <v>61.36</v>
      </c>
      <c r="T66" s="5">
        <v>0</v>
      </c>
      <c r="U66" s="5">
        <v>61.36</v>
      </c>
      <c r="V66" s="5">
        <v>15.38</v>
      </c>
      <c r="W66" s="5">
        <v>38.46</v>
      </c>
      <c r="X66" s="5">
        <v>10.26</v>
      </c>
      <c r="Y66" s="5">
        <v>4.4000000000000004</v>
      </c>
      <c r="Z66" s="5">
        <v>47.5</v>
      </c>
      <c r="AA66" s="5">
        <v>39.979999999999997</v>
      </c>
      <c r="AB66" s="5">
        <v>9.92</v>
      </c>
      <c r="AC66" s="5">
        <v>36.26</v>
      </c>
      <c r="AD66" s="5">
        <v>91.48</v>
      </c>
      <c r="AE66" s="5">
        <v>41.9</v>
      </c>
      <c r="AF66" s="5">
        <v>52</v>
      </c>
      <c r="AG66" s="5">
        <v>41.62</v>
      </c>
      <c r="AH66" s="5">
        <v>98.52</v>
      </c>
      <c r="AI66" s="5">
        <v>66.8</v>
      </c>
      <c r="AJ66" s="5">
        <v>12.5</v>
      </c>
      <c r="AK66" s="5">
        <v>78.599999999999994</v>
      </c>
      <c r="AL66" s="5">
        <v>47.93</v>
      </c>
      <c r="AM66" s="5">
        <v>78.95</v>
      </c>
      <c r="AN66" s="5">
        <v>83.93</v>
      </c>
      <c r="AO66" s="5">
        <v>23.58</v>
      </c>
      <c r="AP66" s="5">
        <v>0.96</v>
      </c>
      <c r="AQ66" t="str">
        <f>IF(COUNTIF([1]Country_Classifications!$B$2:$B$40, $A66)&gt;0, "Africa", "Others")</f>
        <v>Africa</v>
      </c>
    </row>
    <row r="67" spans="1:43" ht="15.75" hidden="1" customHeight="1" x14ac:dyDescent="0.35">
      <c r="A67" s="3" t="s">
        <v>81</v>
      </c>
      <c r="B67" s="4" t="s">
        <v>82</v>
      </c>
      <c r="C67" s="5">
        <v>51.64</v>
      </c>
      <c r="D67" s="5">
        <v>53.79</v>
      </c>
      <c r="E67" s="5">
        <v>73.48</v>
      </c>
      <c r="F67" s="5">
        <v>80.3</v>
      </c>
      <c r="G67" s="5">
        <v>68.94</v>
      </c>
      <c r="H67" s="5">
        <v>80.3</v>
      </c>
      <c r="I67" s="5">
        <v>72.73</v>
      </c>
      <c r="J67" s="5">
        <v>72.73</v>
      </c>
      <c r="K67" s="5">
        <v>68.180000000000007</v>
      </c>
      <c r="L67" s="5">
        <v>0</v>
      </c>
      <c r="M67" s="5">
        <v>72.349999999999994</v>
      </c>
      <c r="N67" s="5">
        <v>41.48</v>
      </c>
      <c r="O67" s="5">
        <v>80.11</v>
      </c>
      <c r="P67" s="5">
        <v>90.91</v>
      </c>
      <c r="Q67" s="5">
        <v>81.819999999999993</v>
      </c>
      <c r="R67" s="5">
        <v>0</v>
      </c>
      <c r="S67" s="5">
        <v>74.62</v>
      </c>
      <c r="T67" s="5">
        <v>0</v>
      </c>
      <c r="U67" s="5">
        <v>0</v>
      </c>
      <c r="V67" s="5">
        <v>23.08</v>
      </c>
      <c r="W67" s="5">
        <v>46.15</v>
      </c>
      <c r="X67" s="5">
        <v>30.77</v>
      </c>
      <c r="Y67" s="5">
        <v>30.77</v>
      </c>
      <c r="Z67" s="5">
        <v>40</v>
      </c>
      <c r="AA67" s="5">
        <v>26.45</v>
      </c>
      <c r="AB67" s="5">
        <v>37.450000000000003</v>
      </c>
      <c r="AC67" s="5">
        <v>100</v>
      </c>
      <c r="AD67" s="5">
        <v>88.78</v>
      </c>
      <c r="AE67" s="5">
        <v>30.55</v>
      </c>
      <c r="AF67" s="5">
        <v>70.930000000000007</v>
      </c>
      <c r="AG67" s="5">
        <v>36.57</v>
      </c>
      <c r="AH67" s="5">
        <v>63.89</v>
      </c>
      <c r="AI67" s="5">
        <v>41.8</v>
      </c>
      <c r="AJ67" s="5">
        <v>87.5</v>
      </c>
      <c r="AK67" s="5">
        <v>82.42</v>
      </c>
      <c r="AL67" s="5">
        <v>66.510000000000005</v>
      </c>
      <c r="AM67" s="5">
        <v>44.98</v>
      </c>
      <c r="AN67" s="5">
        <v>78.45</v>
      </c>
      <c r="AO67" s="5">
        <v>43.56</v>
      </c>
      <c r="AP67" s="5">
        <v>0.96</v>
      </c>
      <c r="AQ67" t="str">
        <f>IF(COUNTIF([1]Country_Classifications!$B$2:$B$40, $A67)&gt;0, "Africa", "Others")</f>
        <v>Others</v>
      </c>
    </row>
    <row r="68" spans="1:43" ht="15.75" hidden="1" customHeight="1" x14ac:dyDescent="0.35">
      <c r="A68" s="3" t="s">
        <v>200</v>
      </c>
      <c r="B68" s="4" t="s">
        <v>201</v>
      </c>
      <c r="C68" s="5">
        <v>24.09</v>
      </c>
      <c r="D68" s="5">
        <v>24.09</v>
      </c>
      <c r="E68" s="5">
        <v>18.18</v>
      </c>
      <c r="F68" s="5">
        <v>50</v>
      </c>
      <c r="G68" s="5">
        <v>9.09</v>
      </c>
      <c r="H68" s="5">
        <v>0</v>
      </c>
      <c r="I68" s="5">
        <v>9.09</v>
      </c>
      <c r="J68" s="5">
        <v>10.61</v>
      </c>
      <c r="K68" s="5">
        <v>0</v>
      </c>
      <c r="L68" s="5">
        <v>0</v>
      </c>
      <c r="M68" s="5">
        <v>37.119999999999997</v>
      </c>
      <c r="N68" s="5">
        <v>48.48</v>
      </c>
      <c r="O68" s="5">
        <v>19.89</v>
      </c>
      <c r="P68" s="5">
        <v>0</v>
      </c>
      <c r="Q68" s="5">
        <v>0</v>
      </c>
      <c r="R68" s="5">
        <v>0</v>
      </c>
      <c r="S68" s="5">
        <v>40.15</v>
      </c>
      <c r="T68" s="5">
        <v>0</v>
      </c>
      <c r="U68" s="5">
        <v>0</v>
      </c>
      <c r="V68" s="5">
        <v>15.38</v>
      </c>
      <c r="W68" s="5">
        <v>38.46</v>
      </c>
      <c r="X68" s="5">
        <v>10.26</v>
      </c>
      <c r="Y68" s="5">
        <v>0</v>
      </c>
      <c r="Z68" s="5">
        <v>78.75</v>
      </c>
      <c r="AA68" s="5">
        <v>8.2100000000000009</v>
      </c>
      <c r="AB68" s="5">
        <v>28.17</v>
      </c>
      <c r="AC68" s="5">
        <v>70.37</v>
      </c>
      <c r="AD68" s="5">
        <v>35.659999999999997</v>
      </c>
      <c r="AE68" s="5">
        <v>27.66</v>
      </c>
      <c r="AF68" s="5">
        <v>50.67</v>
      </c>
      <c r="AG68" s="5">
        <v>16.579999999999998</v>
      </c>
      <c r="AH68" s="5">
        <v>33.94</v>
      </c>
      <c r="AI68" s="5">
        <v>50</v>
      </c>
      <c r="AJ68" s="5">
        <v>100</v>
      </c>
      <c r="AK68" s="5">
        <v>67.16</v>
      </c>
      <c r="AL68" s="5">
        <v>65.09</v>
      </c>
      <c r="AM68" s="5">
        <v>29.69</v>
      </c>
      <c r="AN68" s="5">
        <v>74.349999999999994</v>
      </c>
      <c r="AO68" s="5">
        <v>0</v>
      </c>
      <c r="AP68" s="5">
        <v>1</v>
      </c>
      <c r="AQ68" t="str">
        <f>IF(COUNTIF([1]Country_Classifications!$B$2:$B$40, $A68)&gt;0, "Africa", "Others")</f>
        <v>Others</v>
      </c>
    </row>
    <row r="69" spans="1:43" ht="15.75" hidden="1" customHeight="1" x14ac:dyDescent="0.35">
      <c r="A69" s="3" t="s">
        <v>94</v>
      </c>
      <c r="B69" s="4" t="s">
        <v>95</v>
      </c>
      <c r="C69" s="5">
        <v>47.69</v>
      </c>
      <c r="D69" s="5">
        <v>49.68</v>
      </c>
      <c r="E69" s="5">
        <v>9.09</v>
      </c>
      <c r="F69" s="5">
        <v>36.36</v>
      </c>
      <c r="G69" s="5">
        <v>0</v>
      </c>
      <c r="H69" s="5">
        <v>70.45</v>
      </c>
      <c r="I69" s="5">
        <v>65.45</v>
      </c>
      <c r="J69" s="5">
        <v>74.55</v>
      </c>
      <c r="K69" s="5">
        <v>0</v>
      </c>
      <c r="L69" s="5">
        <v>9.09</v>
      </c>
      <c r="M69" s="5">
        <v>71.819999999999993</v>
      </c>
      <c r="N69" s="5">
        <v>70.45</v>
      </c>
      <c r="O69" s="5">
        <v>72.5</v>
      </c>
      <c r="P69" s="5">
        <v>63.64</v>
      </c>
      <c r="Q69" s="5">
        <v>72.5</v>
      </c>
      <c r="R69" s="5">
        <v>61.36</v>
      </c>
      <c r="S69" s="5">
        <v>9.09</v>
      </c>
      <c r="T69" s="5">
        <v>61.36</v>
      </c>
      <c r="U69" s="5">
        <v>9.09</v>
      </c>
      <c r="V69" s="5">
        <v>15.38</v>
      </c>
      <c r="W69" s="5">
        <v>23.08</v>
      </c>
      <c r="X69" s="5">
        <v>20.51</v>
      </c>
      <c r="Y69" s="5">
        <v>4.4000000000000004</v>
      </c>
      <c r="Z69" s="5">
        <v>0</v>
      </c>
      <c r="AA69" s="5">
        <v>84.06</v>
      </c>
      <c r="AB69" s="5">
        <v>74.349999999999994</v>
      </c>
      <c r="AC69" s="5">
        <v>93.55</v>
      </c>
      <c r="AD69" s="5">
        <v>39.89</v>
      </c>
      <c r="AE69" s="5">
        <v>79.98</v>
      </c>
      <c r="AF69" s="5">
        <v>95.47</v>
      </c>
      <c r="AG69" s="5">
        <v>52.28</v>
      </c>
      <c r="AH69" s="5">
        <v>100</v>
      </c>
      <c r="AI69" s="5">
        <v>83.4</v>
      </c>
      <c r="AJ69" s="5">
        <v>37.5</v>
      </c>
      <c r="AK69" s="5">
        <v>77.33</v>
      </c>
      <c r="AL69" s="5">
        <v>78.099999999999994</v>
      </c>
      <c r="AM69" s="5">
        <v>87.03</v>
      </c>
      <c r="AN69" s="5">
        <v>100</v>
      </c>
      <c r="AO69" s="5">
        <v>80.78</v>
      </c>
      <c r="AP69" s="5">
        <v>0.96</v>
      </c>
      <c r="AQ69" t="str">
        <f>IF(COUNTIF([1]Country_Classifications!$B$2:$B$40, $A69)&gt;0, "Africa", "Others")</f>
        <v>Others</v>
      </c>
    </row>
    <row r="70" spans="1:43" ht="15.75" hidden="1" customHeight="1" x14ac:dyDescent="0.35">
      <c r="A70" s="3" t="s">
        <v>202</v>
      </c>
      <c r="B70" s="4" t="s">
        <v>203</v>
      </c>
      <c r="C70" s="5">
        <v>24.03</v>
      </c>
      <c r="D70" s="5">
        <v>25.03</v>
      </c>
      <c r="E70" s="5">
        <v>0</v>
      </c>
      <c r="F70" s="5">
        <v>0</v>
      </c>
      <c r="G70" s="5">
        <v>0</v>
      </c>
      <c r="H70" s="5">
        <v>0</v>
      </c>
      <c r="I70" s="5">
        <v>37.880000000000003</v>
      </c>
      <c r="J70" s="5">
        <v>10.61</v>
      </c>
      <c r="K70" s="5">
        <v>18.18</v>
      </c>
      <c r="L70" s="5">
        <v>0</v>
      </c>
      <c r="M70" s="5">
        <v>20.45</v>
      </c>
      <c r="N70" s="5">
        <v>20.45</v>
      </c>
      <c r="O70" s="5">
        <v>12.5</v>
      </c>
      <c r="P70" s="5">
        <v>37.880000000000003</v>
      </c>
      <c r="Q70" s="5">
        <v>37.880000000000003</v>
      </c>
      <c r="R70" s="5">
        <v>0</v>
      </c>
      <c r="S70" s="5">
        <v>9.09</v>
      </c>
      <c r="T70" s="5">
        <v>0</v>
      </c>
      <c r="U70" s="5">
        <v>0</v>
      </c>
      <c r="V70" s="5">
        <v>23.08</v>
      </c>
      <c r="W70" s="5">
        <v>15.38</v>
      </c>
      <c r="X70" s="5">
        <v>20.51</v>
      </c>
      <c r="Y70" s="5">
        <v>26.37</v>
      </c>
      <c r="Z70" s="5">
        <v>8.75</v>
      </c>
      <c r="AA70" s="5">
        <v>18.72</v>
      </c>
      <c r="AB70" s="5">
        <v>65.33</v>
      </c>
      <c r="AC70" s="5">
        <v>100</v>
      </c>
      <c r="AD70" s="5">
        <v>2.2400000000000002</v>
      </c>
      <c r="AE70" s="5">
        <v>58.64</v>
      </c>
      <c r="AF70" s="5">
        <v>81.599999999999994</v>
      </c>
      <c r="AG70" s="5">
        <v>37.590000000000003</v>
      </c>
      <c r="AH70" s="5">
        <v>58.77</v>
      </c>
      <c r="AI70" s="5">
        <v>58.4</v>
      </c>
      <c r="AJ70" s="5">
        <v>87.5</v>
      </c>
      <c r="AK70" s="5">
        <v>91.95</v>
      </c>
      <c r="AL70" s="5">
        <v>82.43</v>
      </c>
      <c r="AM70" s="5">
        <v>50.72</v>
      </c>
      <c r="AN70" s="5">
        <v>71.2</v>
      </c>
      <c r="AO70" s="5">
        <v>21.39</v>
      </c>
      <c r="AP70" s="5">
        <v>0.96</v>
      </c>
      <c r="AQ70" t="str">
        <f>IF(COUNTIF([1]Country_Classifications!$B$2:$B$40, $A70)&gt;0, "Africa", "Others")</f>
        <v>Others</v>
      </c>
    </row>
    <row r="71" spans="1:43" ht="15.75" hidden="1" customHeight="1" x14ac:dyDescent="0.35">
      <c r="A71" s="3" t="s">
        <v>254</v>
      </c>
      <c r="B71" s="4" t="s">
        <v>255</v>
      </c>
      <c r="C71" s="5">
        <v>14.45</v>
      </c>
      <c r="D71" s="5">
        <v>14.45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9.09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10.26</v>
      </c>
      <c r="Y71" s="5">
        <v>0</v>
      </c>
      <c r="Z71" s="5">
        <v>0</v>
      </c>
      <c r="AA71" s="5">
        <v>11.84</v>
      </c>
      <c r="AB71" s="5">
        <v>43.33</v>
      </c>
      <c r="AC71" s="5">
        <v>78.459999999999994</v>
      </c>
      <c r="AD71" s="5">
        <v>76.72</v>
      </c>
      <c r="AE71" s="5">
        <v>35.21</v>
      </c>
      <c r="AF71" s="5">
        <v>53.6</v>
      </c>
      <c r="AG71" s="5">
        <v>33.68</v>
      </c>
      <c r="AH71" s="5">
        <v>30.43</v>
      </c>
      <c r="AI71" s="5">
        <v>58.4</v>
      </c>
      <c r="AJ71" s="5">
        <v>93.75</v>
      </c>
      <c r="AK71" s="5">
        <v>59.32</v>
      </c>
      <c r="AL71" s="5">
        <v>75.94</v>
      </c>
      <c r="AM71" s="5">
        <v>11.29</v>
      </c>
      <c r="AN71" s="5">
        <v>29.93</v>
      </c>
      <c r="AO71" s="5">
        <v>29.9</v>
      </c>
      <c r="AP71" s="5">
        <v>1</v>
      </c>
      <c r="AQ71" t="str">
        <f>IF(COUNTIF([1]Country_Classifications!$B$2:$B$40, $A71)&gt;0, "Africa", "Others")</f>
        <v>Others</v>
      </c>
    </row>
    <row r="72" spans="1:43" ht="15.75" hidden="1" customHeight="1" x14ac:dyDescent="0.35">
      <c r="A72" s="3" t="s">
        <v>252</v>
      </c>
      <c r="B72" s="4" t="s">
        <v>253</v>
      </c>
      <c r="C72" s="5">
        <v>14.49</v>
      </c>
      <c r="D72" s="5">
        <v>14.49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12.88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46.15</v>
      </c>
      <c r="X72" s="5">
        <v>10.26</v>
      </c>
      <c r="Y72" s="5">
        <v>4.4000000000000004</v>
      </c>
      <c r="Z72" s="5">
        <v>0</v>
      </c>
      <c r="AA72" s="5">
        <v>28.74</v>
      </c>
      <c r="AB72" s="5">
        <v>26.31</v>
      </c>
      <c r="AC72" s="5">
        <v>90.91</v>
      </c>
      <c r="AD72" s="5">
        <v>43.82</v>
      </c>
      <c r="AE72" s="5">
        <v>26.96</v>
      </c>
      <c r="AF72" s="5">
        <v>75.2</v>
      </c>
      <c r="AG72" s="5">
        <v>23.16</v>
      </c>
      <c r="AH72" s="5">
        <v>29.01</v>
      </c>
      <c r="AI72" s="5">
        <v>33.4</v>
      </c>
      <c r="AJ72" s="5">
        <v>37.5</v>
      </c>
      <c r="AK72" s="5">
        <v>43.43</v>
      </c>
      <c r="AL72" s="5">
        <v>34.96</v>
      </c>
      <c r="AM72" s="5">
        <v>69.98</v>
      </c>
      <c r="AN72" s="5">
        <v>32.840000000000003</v>
      </c>
      <c r="AO72" s="5">
        <v>28.25</v>
      </c>
      <c r="AP72" s="5">
        <v>1</v>
      </c>
      <c r="AQ72" t="str">
        <f>IF(COUNTIF([1]Country_Classifications!$B$2:$B$40, $A72)&gt;0, "Africa", "Others")</f>
        <v>Others</v>
      </c>
    </row>
    <row r="73" spans="1:43" ht="15.75" customHeight="1" x14ac:dyDescent="0.35">
      <c r="A73" s="3" t="s">
        <v>266</v>
      </c>
      <c r="B73" s="4" t="s">
        <v>267</v>
      </c>
      <c r="C73" s="5">
        <v>13.01</v>
      </c>
      <c r="D73" s="5">
        <v>13.01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44.69</v>
      </c>
      <c r="AB73" s="5">
        <v>27.3</v>
      </c>
      <c r="AC73" s="5">
        <v>45</v>
      </c>
      <c r="AD73" s="5">
        <v>54.39</v>
      </c>
      <c r="AE73" s="5">
        <v>32.19</v>
      </c>
      <c r="AF73" s="5">
        <v>29.07</v>
      </c>
      <c r="AG73" s="5">
        <v>25.71</v>
      </c>
      <c r="AH73" s="5">
        <v>17.420000000000002</v>
      </c>
      <c r="AI73" s="5">
        <v>25.2</v>
      </c>
      <c r="AJ73" s="5">
        <v>87.5</v>
      </c>
      <c r="AK73" s="5">
        <v>76.48</v>
      </c>
      <c r="AL73" s="5">
        <v>68.77</v>
      </c>
      <c r="AM73" s="5">
        <v>78.34</v>
      </c>
      <c r="AN73" s="5">
        <v>62.41</v>
      </c>
      <c r="AO73" s="5">
        <v>15.44</v>
      </c>
      <c r="AP73" s="5">
        <v>1</v>
      </c>
      <c r="AQ73" t="str">
        <f>IF(COUNTIF([1]Country_Classifications!$B$2:$B$40, $A73)&gt;0, "Africa", "Others")</f>
        <v>Africa</v>
      </c>
    </row>
    <row r="74" spans="1:43" ht="15.75" customHeight="1" x14ac:dyDescent="0.35">
      <c r="A74" s="3" t="s">
        <v>178</v>
      </c>
      <c r="B74" s="4" t="s">
        <v>179</v>
      </c>
      <c r="C74" s="5">
        <v>29.24</v>
      </c>
      <c r="D74" s="5">
        <v>29.24</v>
      </c>
      <c r="E74" s="5">
        <v>58.33</v>
      </c>
      <c r="F74" s="5">
        <v>37.119999999999997</v>
      </c>
      <c r="G74" s="5">
        <v>0</v>
      </c>
      <c r="H74" s="5">
        <v>40.15</v>
      </c>
      <c r="I74" s="5">
        <v>39.39</v>
      </c>
      <c r="J74" s="5">
        <v>40.15</v>
      </c>
      <c r="K74" s="5">
        <v>37.880000000000003</v>
      </c>
      <c r="L74" s="5">
        <v>0</v>
      </c>
      <c r="M74" s="5">
        <v>67.42</v>
      </c>
      <c r="N74" s="5">
        <v>68.94</v>
      </c>
      <c r="O74" s="5">
        <v>46.02</v>
      </c>
      <c r="P74" s="5">
        <v>37.119999999999997</v>
      </c>
      <c r="Q74" s="5">
        <v>0</v>
      </c>
      <c r="R74" s="5">
        <v>0</v>
      </c>
      <c r="S74" s="5">
        <v>67.42</v>
      </c>
      <c r="T74" s="5">
        <v>0</v>
      </c>
      <c r="U74" s="5">
        <v>0</v>
      </c>
      <c r="V74" s="5">
        <v>0</v>
      </c>
      <c r="W74" s="5">
        <v>0</v>
      </c>
      <c r="X74" s="5">
        <v>10.26</v>
      </c>
      <c r="Y74" s="5">
        <v>4.4000000000000004</v>
      </c>
      <c r="Z74" s="5">
        <v>0</v>
      </c>
      <c r="AA74" s="5">
        <v>12.92</v>
      </c>
      <c r="AB74" s="5">
        <v>49.76</v>
      </c>
      <c r="AC74" s="5">
        <v>100</v>
      </c>
      <c r="AD74" s="5">
        <v>0.03</v>
      </c>
      <c r="AE74" s="5">
        <v>12.21</v>
      </c>
      <c r="AF74" s="5">
        <v>68.8</v>
      </c>
      <c r="AG74" s="5">
        <v>28.93</v>
      </c>
      <c r="AH74" s="5">
        <v>66.5</v>
      </c>
      <c r="AI74" s="5">
        <v>0</v>
      </c>
      <c r="AJ74" s="5">
        <v>12.5</v>
      </c>
      <c r="AK74" s="5">
        <v>0</v>
      </c>
      <c r="AL74" s="5">
        <v>43.97</v>
      </c>
      <c r="AM74" s="5">
        <v>57.97</v>
      </c>
      <c r="AN74" s="5">
        <v>10.7</v>
      </c>
      <c r="AO74" s="5">
        <v>17.88</v>
      </c>
      <c r="AP74" s="5">
        <v>1</v>
      </c>
      <c r="AQ74" t="str">
        <f>IF(COUNTIF([1]Country_Classifications!$B$2:$B$40, $A74)&gt;0, "Africa", "Others")</f>
        <v>Africa</v>
      </c>
    </row>
    <row r="75" spans="1:43" ht="15.75" hidden="1" customHeight="1" x14ac:dyDescent="0.35">
      <c r="A75" s="3" t="s">
        <v>240</v>
      </c>
      <c r="B75" s="4" t="s">
        <v>241</v>
      </c>
      <c r="C75" s="5">
        <v>16.46</v>
      </c>
      <c r="D75" s="5">
        <v>16.46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9.09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62.26</v>
      </c>
      <c r="AB75" s="5">
        <v>53.21</v>
      </c>
      <c r="AC75" s="5">
        <v>100</v>
      </c>
      <c r="AD75" s="5">
        <v>2.5</v>
      </c>
      <c r="AE75" s="5">
        <v>65.19</v>
      </c>
      <c r="AF75" s="5">
        <v>65.33</v>
      </c>
      <c r="AG75" s="5">
        <v>58.19</v>
      </c>
      <c r="AH75" s="5">
        <v>22.49</v>
      </c>
      <c r="AI75" s="5">
        <v>30.2</v>
      </c>
      <c r="AJ75" s="5">
        <v>12.5</v>
      </c>
      <c r="AK75" s="5">
        <v>68.86</v>
      </c>
      <c r="AL75" s="5">
        <v>64.97</v>
      </c>
      <c r="AM75" s="5">
        <v>89.64</v>
      </c>
      <c r="AN75" s="5">
        <v>63.43</v>
      </c>
      <c r="AO75" s="5">
        <v>30.06</v>
      </c>
      <c r="AP75" s="5">
        <v>1</v>
      </c>
      <c r="AQ75" t="str">
        <f>IF(COUNTIF([1]Country_Classifications!$B$2:$B$40, $A75)&gt;0, "Africa", "Others")</f>
        <v>Others</v>
      </c>
    </row>
    <row r="76" spans="1:43" ht="15.75" hidden="1" customHeight="1" x14ac:dyDescent="0.35">
      <c r="A76" s="3" t="s">
        <v>166</v>
      </c>
      <c r="B76" s="4" t="s">
        <v>167</v>
      </c>
      <c r="C76" s="5">
        <v>32.08</v>
      </c>
      <c r="D76" s="5">
        <v>32.08</v>
      </c>
      <c r="E76" s="5">
        <v>20.45</v>
      </c>
      <c r="F76" s="5">
        <v>9.09</v>
      </c>
      <c r="G76" s="5">
        <v>22.73</v>
      </c>
      <c r="H76" s="5">
        <v>11.36</v>
      </c>
      <c r="I76" s="5">
        <v>11.36</v>
      </c>
      <c r="J76" s="5">
        <v>68.180000000000007</v>
      </c>
      <c r="K76" s="5">
        <v>10.61</v>
      </c>
      <c r="L76" s="5">
        <v>0</v>
      </c>
      <c r="M76" s="5">
        <v>21.97</v>
      </c>
      <c r="N76" s="5">
        <v>31.06</v>
      </c>
      <c r="O76" s="5">
        <v>11.93</v>
      </c>
      <c r="P76" s="5">
        <v>67.42</v>
      </c>
      <c r="Q76" s="5">
        <v>67.42</v>
      </c>
      <c r="R76" s="5">
        <v>9.09</v>
      </c>
      <c r="S76" s="5">
        <v>22.73</v>
      </c>
      <c r="T76" s="5">
        <v>0</v>
      </c>
      <c r="U76" s="5">
        <v>10.23</v>
      </c>
      <c r="V76" s="5">
        <v>7.69</v>
      </c>
      <c r="W76" s="5">
        <v>23.08</v>
      </c>
      <c r="X76" s="5">
        <v>51.28</v>
      </c>
      <c r="Y76" s="5">
        <v>4.4000000000000004</v>
      </c>
      <c r="Z76" s="5">
        <v>30</v>
      </c>
      <c r="AA76" s="5">
        <v>68.959999999999994</v>
      </c>
      <c r="AB76" s="5">
        <v>29.34</v>
      </c>
      <c r="AC76" s="5">
        <v>44.26</v>
      </c>
      <c r="AD76" s="5">
        <v>55.24</v>
      </c>
      <c r="AE76" s="5">
        <v>46.88</v>
      </c>
      <c r="AF76" s="5">
        <v>69.33</v>
      </c>
      <c r="AG76" s="5">
        <v>48.56</v>
      </c>
      <c r="AH76" s="5">
        <v>86.37</v>
      </c>
      <c r="AI76" s="5">
        <v>33.4</v>
      </c>
      <c r="AJ76" s="5">
        <v>37.5</v>
      </c>
      <c r="AK76" s="5">
        <v>59.96</v>
      </c>
      <c r="AL76" s="5">
        <v>62.51</v>
      </c>
      <c r="AM76" s="5">
        <v>78.28</v>
      </c>
      <c r="AN76" s="5">
        <v>66.97</v>
      </c>
      <c r="AO76" s="5">
        <v>39.22</v>
      </c>
      <c r="AP76" s="5">
        <v>1</v>
      </c>
      <c r="AQ76" t="str">
        <f>IF(COUNTIF([1]Country_Classifications!$B$2:$B$40, $A76)&gt;0, "Africa", "Others")</f>
        <v>Others</v>
      </c>
    </row>
    <row r="77" spans="1:43" ht="15.75" customHeight="1" x14ac:dyDescent="0.35">
      <c r="A77" s="3" t="s">
        <v>210</v>
      </c>
      <c r="B77" s="4" t="s">
        <v>211</v>
      </c>
      <c r="C77" s="5">
        <v>22.8</v>
      </c>
      <c r="D77" s="5">
        <v>22.8</v>
      </c>
      <c r="E77" s="5">
        <v>0</v>
      </c>
      <c r="F77" s="5">
        <v>39.39</v>
      </c>
      <c r="G77" s="5">
        <v>10.61</v>
      </c>
      <c r="H77" s="5">
        <v>22.73</v>
      </c>
      <c r="I77" s="5">
        <v>12.12</v>
      </c>
      <c r="J77" s="5">
        <v>11.36</v>
      </c>
      <c r="K77" s="5">
        <v>10.61</v>
      </c>
      <c r="L77" s="5">
        <v>0</v>
      </c>
      <c r="M77" s="5">
        <v>12.12</v>
      </c>
      <c r="N77" s="5">
        <v>6.44</v>
      </c>
      <c r="O77" s="5">
        <v>12.5</v>
      </c>
      <c r="P77" s="5">
        <v>9.85</v>
      </c>
      <c r="Q77" s="5">
        <v>12.12</v>
      </c>
      <c r="R77" s="5">
        <v>0</v>
      </c>
      <c r="S77" s="5">
        <v>12.12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8.75</v>
      </c>
      <c r="AA77" s="5">
        <v>57.25</v>
      </c>
      <c r="AB77" s="5">
        <v>25.17</v>
      </c>
      <c r="AC77" s="5">
        <v>100</v>
      </c>
      <c r="AD77" s="5">
        <v>100</v>
      </c>
      <c r="AE77" s="5">
        <v>43.29</v>
      </c>
      <c r="AF77" s="5">
        <v>44.8</v>
      </c>
      <c r="AG77" s="5">
        <v>35.78</v>
      </c>
      <c r="AH77" s="5">
        <v>27.11</v>
      </c>
      <c r="AI77" s="5">
        <v>41.8</v>
      </c>
      <c r="AJ77" s="5">
        <v>87.5</v>
      </c>
      <c r="AK77" s="5">
        <v>75.849999999999994</v>
      </c>
      <c r="AL77" s="5">
        <v>53.68</v>
      </c>
      <c r="AM77" s="5">
        <v>75.75</v>
      </c>
      <c r="AN77" s="5">
        <v>31.21</v>
      </c>
      <c r="AO77" s="5">
        <v>36.07</v>
      </c>
      <c r="AP77" s="5">
        <v>1</v>
      </c>
      <c r="AQ77" t="str">
        <f>IF(COUNTIF([1]Country_Classifications!$B$2:$B$40, $A77)&gt;0, "Africa", "Others")</f>
        <v>Africa</v>
      </c>
    </row>
    <row r="78" spans="1:43" ht="15.75" hidden="1" customHeight="1" x14ac:dyDescent="0.35">
      <c r="A78" s="3" t="s">
        <v>59</v>
      </c>
      <c r="B78" s="4" t="s">
        <v>60</v>
      </c>
      <c r="C78" s="5">
        <v>57.69</v>
      </c>
      <c r="D78" s="5">
        <v>57.69</v>
      </c>
      <c r="E78" s="5">
        <v>63.41</v>
      </c>
      <c r="F78" s="5">
        <v>71.209999999999994</v>
      </c>
      <c r="G78" s="5">
        <v>57.58</v>
      </c>
      <c r="H78" s="5">
        <v>64.77</v>
      </c>
      <c r="I78" s="5">
        <v>73.86</v>
      </c>
      <c r="J78" s="5">
        <v>64.77</v>
      </c>
      <c r="K78" s="5">
        <v>0</v>
      </c>
      <c r="L78" s="5">
        <v>64.09</v>
      </c>
      <c r="M78" s="5">
        <v>74.62</v>
      </c>
      <c r="N78" s="5">
        <v>40.72</v>
      </c>
      <c r="O78" s="5">
        <v>83.64</v>
      </c>
      <c r="P78" s="5">
        <v>73.86</v>
      </c>
      <c r="Q78" s="5">
        <v>73.180000000000007</v>
      </c>
      <c r="R78" s="5">
        <v>79.55</v>
      </c>
      <c r="S78" s="5">
        <v>9.09</v>
      </c>
      <c r="T78" s="5">
        <v>0</v>
      </c>
      <c r="U78" s="5">
        <v>0</v>
      </c>
      <c r="V78" s="5">
        <v>30.77</v>
      </c>
      <c r="W78" s="5">
        <v>0</v>
      </c>
      <c r="X78" s="5">
        <v>10.26</v>
      </c>
      <c r="Y78" s="5">
        <v>8.7899999999999991</v>
      </c>
      <c r="Z78" s="5">
        <v>15</v>
      </c>
      <c r="AA78" s="5">
        <v>80.92</v>
      </c>
      <c r="AB78" s="5">
        <v>87.34</v>
      </c>
      <c r="AC78" s="5">
        <v>94.87</v>
      </c>
      <c r="AD78" s="5">
        <v>84.3</v>
      </c>
      <c r="AE78" s="5">
        <v>86.16</v>
      </c>
      <c r="AF78" s="5">
        <v>87.47</v>
      </c>
      <c r="AG78" s="5">
        <v>72.53</v>
      </c>
      <c r="AH78" s="5">
        <v>92.37</v>
      </c>
      <c r="AI78" s="5">
        <v>100</v>
      </c>
      <c r="AJ78" s="5">
        <v>87.5</v>
      </c>
      <c r="AK78" s="5">
        <v>99.58</v>
      </c>
      <c r="AL78" s="5">
        <v>86.29</v>
      </c>
      <c r="AM78" s="5">
        <v>82.75</v>
      </c>
      <c r="AN78" s="5">
        <v>88.77</v>
      </c>
      <c r="AO78" s="5">
        <v>78.14</v>
      </c>
      <c r="AP78" s="5">
        <v>1</v>
      </c>
      <c r="AQ78" t="str">
        <f>IF(COUNTIF([1]Country_Classifications!$B$2:$B$40, $A78)&gt;0, "Africa", "Others")</f>
        <v>Others</v>
      </c>
    </row>
    <row r="79" spans="1:43" ht="15.75" hidden="1" customHeight="1" x14ac:dyDescent="0.35">
      <c r="A79" s="3" t="s">
        <v>34</v>
      </c>
      <c r="B79" s="4" t="s">
        <v>35</v>
      </c>
      <c r="C79" s="5">
        <v>65.180000000000007</v>
      </c>
      <c r="D79" s="5">
        <v>65.180000000000007</v>
      </c>
      <c r="E79" s="5">
        <v>72.5</v>
      </c>
      <c r="F79" s="5">
        <v>80.3</v>
      </c>
      <c r="G79" s="5">
        <v>76.52</v>
      </c>
      <c r="H79" s="5">
        <v>73.86</v>
      </c>
      <c r="I79" s="5">
        <v>73.86</v>
      </c>
      <c r="J79" s="5">
        <v>73.86</v>
      </c>
      <c r="K79" s="5">
        <v>0</v>
      </c>
      <c r="L79" s="5">
        <v>73.180000000000007</v>
      </c>
      <c r="M79" s="5">
        <v>65.91</v>
      </c>
      <c r="N79" s="5">
        <v>93.18</v>
      </c>
      <c r="O79" s="5">
        <v>74.55</v>
      </c>
      <c r="P79" s="5">
        <v>64.77</v>
      </c>
      <c r="Q79" s="5">
        <v>82.27</v>
      </c>
      <c r="R79" s="5">
        <v>97.73</v>
      </c>
      <c r="S79" s="5">
        <v>27.65</v>
      </c>
      <c r="T79" s="5">
        <v>9.09</v>
      </c>
      <c r="U79" s="5">
        <v>62.5</v>
      </c>
      <c r="V79" s="5">
        <v>0</v>
      </c>
      <c r="W79" s="5">
        <v>7.69</v>
      </c>
      <c r="X79" s="5">
        <v>20.51</v>
      </c>
      <c r="Y79" s="5">
        <v>4.4000000000000004</v>
      </c>
      <c r="Z79" s="5">
        <v>30</v>
      </c>
      <c r="AA79" s="5">
        <v>86.23</v>
      </c>
      <c r="AB79" s="5">
        <v>81.180000000000007</v>
      </c>
      <c r="AC79" s="5">
        <v>100</v>
      </c>
      <c r="AD79" s="5">
        <v>73.459999999999994</v>
      </c>
      <c r="AE79" s="5">
        <v>79.349999999999994</v>
      </c>
      <c r="AF79" s="5">
        <v>85.33</v>
      </c>
      <c r="AG79" s="5">
        <v>78.760000000000005</v>
      </c>
      <c r="AH79" s="5">
        <v>81.760000000000005</v>
      </c>
      <c r="AI79" s="5">
        <v>91.8</v>
      </c>
      <c r="AJ79" s="5">
        <v>87.5</v>
      </c>
      <c r="AK79" s="5">
        <v>84.75</v>
      </c>
      <c r="AL79" s="5">
        <v>86.29</v>
      </c>
      <c r="AM79" s="5">
        <v>88.38</v>
      </c>
      <c r="AN79" s="5">
        <v>94.73</v>
      </c>
      <c r="AO79" s="5">
        <v>78.41</v>
      </c>
      <c r="AP79" s="5">
        <v>1</v>
      </c>
      <c r="AQ79" t="str">
        <f>IF(COUNTIF([1]Country_Classifications!$B$2:$B$40, $A79)&gt;0, "Africa", "Others")</f>
        <v>Others</v>
      </c>
    </row>
    <row r="80" spans="1:43" ht="15.75" customHeight="1" x14ac:dyDescent="0.35">
      <c r="A80" s="3" t="s">
        <v>148</v>
      </c>
      <c r="B80" s="4" t="s">
        <v>149</v>
      </c>
      <c r="C80" s="5">
        <v>35.619999999999997</v>
      </c>
      <c r="D80" s="5">
        <v>35.619999999999997</v>
      </c>
      <c r="E80" s="5">
        <v>9.09</v>
      </c>
      <c r="F80" s="5">
        <v>9.09</v>
      </c>
      <c r="G80" s="5">
        <v>27.27</v>
      </c>
      <c r="H80" s="5">
        <v>18.18</v>
      </c>
      <c r="I80" s="5">
        <v>46.21</v>
      </c>
      <c r="J80" s="5">
        <v>9.09</v>
      </c>
      <c r="K80" s="5">
        <v>18.18</v>
      </c>
      <c r="L80" s="5">
        <v>0</v>
      </c>
      <c r="M80" s="5">
        <v>71.209999999999994</v>
      </c>
      <c r="N80" s="5">
        <v>71.209999999999994</v>
      </c>
      <c r="O80" s="5">
        <v>70.45</v>
      </c>
      <c r="P80" s="5">
        <v>68.180000000000007</v>
      </c>
      <c r="Q80" s="5">
        <v>0</v>
      </c>
      <c r="R80" s="5">
        <v>45.45</v>
      </c>
      <c r="S80" s="5">
        <v>46.21</v>
      </c>
      <c r="T80" s="5">
        <v>0</v>
      </c>
      <c r="U80" s="5">
        <v>0</v>
      </c>
      <c r="V80" s="5">
        <v>38.46</v>
      </c>
      <c r="W80" s="5">
        <v>53.85</v>
      </c>
      <c r="X80" s="5">
        <v>20.51</v>
      </c>
      <c r="Y80" s="5">
        <v>0</v>
      </c>
      <c r="Z80" s="5">
        <v>0</v>
      </c>
      <c r="AA80" s="5">
        <v>22.58</v>
      </c>
      <c r="AB80" s="5">
        <v>34.78</v>
      </c>
      <c r="AC80" s="5">
        <v>84.85</v>
      </c>
      <c r="AD80" s="5">
        <v>24.41</v>
      </c>
      <c r="AE80" s="5">
        <v>44.23</v>
      </c>
      <c r="AF80" s="5">
        <v>64</v>
      </c>
      <c r="AG80" s="5">
        <v>40.53</v>
      </c>
      <c r="AH80" s="5">
        <v>97.37</v>
      </c>
      <c r="AI80" s="5">
        <v>66.8</v>
      </c>
      <c r="AJ80" s="5">
        <v>87.5</v>
      </c>
      <c r="AK80" s="5">
        <v>93.22</v>
      </c>
      <c r="AL80" s="5">
        <v>65.41</v>
      </c>
      <c r="AM80" s="5">
        <v>56.32</v>
      </c>
      <c r="AN80" s="5">
        <v>52.84</v>
      </c>
      <c r="AO80" s="5">
        <v>28.92</v>
      </c>
      <c r="AP80" s="5">
        <v>1</v>
      </c>
      <c r="AQ80" t="str">
        <f>IF(COUNTIF([1]Country_Classifications!$B$2:$B$40, $A80)&gt;0, "Africa", "Others")</f>
        <v>Africa</v>
      </c>
    </row>
    <row r="81" spans="1:43" ht="15.75" hidden="1" customHeight="1" x14ac:dyDescent="0.35">
      <c r="A81" s="3" t="s">
        <v>112</v>
      </c>
      <c r="B81" s="4" t="s">
        <v>113</v>
      </c>
      <c r="C81" s="5">
        <v>42.04</v>
      </c>
      <c r="D81" s="5">
        <v>42.04</v>
      </c>
      <c r="E81" s="5">
        <v>57.58</v>
      </c>
      <c r="F81" s="5">
        <v>0</v>
      </c>
      <c r="G81" s="5">
        <v>0</v>
      </c>
      <c r="H81" s="5">
        <v>68.180000000000007</v>
      </c>
      <c r="I81" s="5">
        <v>59.09</v>
      </c>
      <c r="J81" s="5">
        <v>58.33</v>
      </c>
      <c r="K81" s="5">
        <v>0</v>
      </c>
      <c r="L81" s="5">
        <v>58.33</v>
      </c>
      <c r="M81" s="5">
        <v>66.67</v>
      </c>
      <c r="N81" s="5">
        <v>57.58</v>
      </c>
      <c r="O81" s="5">
        <v>60.23</v>
      </c>
      <c r="P81" s="5">
        <v>0</v>
      </c>
      <c r="Q81" s="5">
        <v>58.33</v>
      </c>
      <c r="R81" s="5">
        <v>11.36</v>
      </c>
      <c r="S81" s="5">
        <v>41.67</v>
      </c>
      <c r="T81" s="5">
        <v>9.09</v>
      </c>
      <c r="U81" s="5">
        <v>0</v>
      </c>
      <c r="V81" s="5">
        <v>23.08</v>
      </c>
      <c r="W81" s="5">
        <v>0</v>
      </c>
      <c r="X81" s="5">
        <v>20.51</v>
      </c>
      <c r="Y81" s="5">
        <v>8.7899999999999991</v>
      </c>
      <c r="Z81" s="5">
        <v>87.5</v>
      </c>
      <c r="AA81" s="5">
        <v>51.21</v>
      </c>
      <c r="AB81" s="5">
        <v>74.010000000000005</v>
      </c>
      <c r="AC81" s="5">
        <v>85.54</v>
      </c>
      <c r="AD81" s="5">
        <v>10.71</v>
      </c>
      <c r="AE81" s="5">
        <v>49.2</v>
      </c>
      <c r="AF81" s="5">
        <v>77.33</v>
      </c>
      <c r="AG81" s="5">
        <v>37.07</v>
      </c>
      <c r="AH81" s="5">
        <v>63.52</v>
      </c>
      <c r="AI81" s="5">
        <v>66.8</v>
      </c>
      <c r="AJ81" s="5">
        <v>93.75</v>
      </c>
      <c r="AK81" s="5">
        <v>92.58</v>
      </c>
      <c r="AL81" s="5">
        <v>69.73</v>
      </c>
      <c r="AM81" s="5">
        <v>63.93</v>
      </c>
      <c r="AN81" s="5">
        <v>81.319999999999993</v>
      </c>
      <c r="AO81" s="5">
        <v>57.61</v>
      </c>
      <c r="AP81" s="5">
        <v>1</v>
      </c>
      <c r="AQ81" t="str">
        <f>IF(COUNTIF([1]Country_Classifications!$B$2:$B$40, $A81)&gt;0, "Africa", "Others")</f>
        <v>Others</v>
      </c>
    </row>
    <row r="82" spans="1:43" ht="15.75" hidden="1" customHeight="1" x14ac:dyDescent="0.35">
      <c r="A82" s="3" t="s">
        <v>184</v>
      </c>
      <c r="B82" s="4" t="s">
        <v>185</v>
      </c>
      <c r="C82" s="5">
        <v>27.95</v>
      </c>
      <c r="D82" s="5">
        <v>29.11</v>
      </c>
      <c r="E82" s="5">
        <v>11.36</v>
      </c>
      <c r="F82" s="5">
        <v>70.45</v>
      </c>
      <c r="G82" s="5">
        <v>0</v>
      </c>
      <c r="H82" s="5">
        <v>22.73</v>
      </c>
      <c r="I82" s="5">
        <v>12.12</v>
      </c>
      <c r="J82" s="5">
        <v>11.36</v>
      </c>
      <c r="K82" s="5">
        <v>0</v>
      </c>
      <c r="L82" s="5">
        <v>38.64</v>
      </c>
      <c r="M82" s="5">
        <v>15.15</v>
      </c>
      <c r="N82" s="5">
        <v>9.09</v>
      </c>
      <c r="O82" s="5">
        <v>12.5</v>
      </c>
      <c r="P82" s="5">
        <v>13.64</v>
      </c>
      <c r="Q82" s="5">
        <v>12.88</v>
      </c>
      <c r="R82" s="5">
        <v>33.24</v>
      </c>
      <c r="S82" s="5">
        <v>0</v>
      </c>
      <c r="T82" s="5">
        <v>0</v>
      </c>
      <c r="U82" s="5">
        <v>0</v>
      </c>
      <c r="V82" s="5">
        <v>53.85</v>
      </c>
      <c r="W82" s="5">
        <v>30.77</v>
      </c>
      <c r="X82" s="5">
        <v>41.03</v>
      </c>
      <c r="Y82" s="5">
        <v>21.98</v>
      </c>
      <c r="Z82" s="5">
        <v>0</v>
      </c>
      <c r="AA82" s="5">
        <v>30.07</v>
      </c>
      <c r="AB82" s="5">
        <v>75.34</v>
      </c>
      <c r="AC82" s="5">
        <v>95.88</v>
      </c>
      <c r="AD82" s="5">
        <v>24.58</v>
      </c>
      <c r="AE82" s="5">
        <v>25.31</v>
      </c>
      <c r="AF82" s="5">
        <v>80.53</v>
      </c>
      <c r="AG82" s="5">
        <v>28.92</v>
      </c>
      <c r="AH82" s="5">
        <v>85.05</v>
      </c>
      <c r="AI82" s="5">
        <v>83.4</v>
      </c>
      <c r="AJ82" s="5">
        <v>37.5</v>
      </c>
      <c r="AK82" s="5">
        <v>77.12</v>
      </c>
      <c r="AL82" s="5">
        <v>36.71</v>
      </c>
      <c r="AM82" s="5">
        <v>62.2</v>
      </c>
      <c r="AN82" s="5">
        <v>89.24</v>
      </c>
      <c r="AO82" s="5">
        <v>57.4</v>
      </c>
      <c r="AP82" s="5">
        <v>0.96</v>
      </c>
      <c r="AQ82" t="str">
        <f>IF(COUNTIF([1]Country_Classifications!$B$2:$B$40, $A82)&gt;0, "Africa", "Others")</f>
        <v>Others</v>
      </c>
    </row>
    <row r="83" spans="1:43" ht="15.75" hidden="1" customHeight="1" x14ac:dyDescent="0.35">
      <c r="A83" s="3" t="s">
        <v>138</v>
      </c>
      <c r="B83" s="4" t="s">
        <v>139</v>
      </c>
      <c r="C83" s="5">
        <v>37.18</v>
      </c>
      <c r="D83" s="5">
        <v>37.18</v>
      </c>
      <c r="E83" s="5">
        <v>0</v>
      </c>
      <c r="F83" s="5">
        <v>9.09</v>
      </c>
      <c r="G83" s="5">
        <v>0</v>
      </c>
      <c r="H83" s="5">
        <v>0</v>
      </c>
      <c r="I83" s="5">
        <v>59.09</v>
      </c>
      <c r="J83" s="5">
        <v>0</v>
      </c>
      <c r="K83" s="5">
        <v>0</v>
      </c>
      <c r="L83" s="5">
        <v>9.09</v>
      </c>
      <c r="M83" s="5">
        <v>80.3</v>
      </c>
      <c r="N83" s="5">
        <v>71.209999999999994</v>
      </c>
      <c r="O83" s="5">
        <v>0</v>
      </c>
      <c r="P83" s="5">
        <v>0</v>
      </c>
      <c r="Q83" s="5">
        <v>67.05</v>
      </c>
      <c r="R83" s="5">
        <v>0</v>
      </c>
      <c r="S83" s="5">
        <v>39.39</v>
      </c>
      <c r="T83" s="5">
        <v>0</v>
      </c>
      <c r="U83" s="5">
        <v>9.09</v>
      </c>
      <c r="V83" s="5">
        <v>30.77</v>
      </c>
      <c r="W83" s="5">
        <v>67.69</v>
      </c>
      <c r="X83" s="5">
        <v>82.05</v>
      </c>
      <c r="Y83" s="5">
        <v>43.96</v>
      </c>
      <c r="Z83" s="5">
        <v>40</v>
      </c>
      <c r="AA83" s="5">
        <v>43.12</v>
      </c>
      <c r="AB83" s="5">
        <v>87.34</v>
      </c>
      <c r="AC83" s="5">
        <v>100</v>
      </c>
      <c r="AD83" s="5">
        <v>39.46</v>
      </c>
      <c r="AE83" s="5">
        <v>47.67</v>
      </c>
      <c r="AF83" s="5">
        <v>73.87</v>
      </c>
      <c r="AG83" s="5">
        <v>49.75</v>
      </c>
      <c r="AH83" s="5">
        <v>64.180000000000007</v>
      </c>
      <c r="AI83" s="5">
        <v>66.8</v>
      </c>
      <c r="AJ83" s="5">
        <v>87.5</v>
      </c>
      <c r="AK83" s="5">
        <v>96.82</v>
      </c>
      <c r="AL83" s="5">
        <v>75.209999999999994</v>
      </c>
      <c r="AM83" s="5">
        <v>65.89</v>
      </c>
      <c r="AN83" s="5">
        <v>81.53</v>
      </c>
      <c r="AO83" s="5">
        <v>40.43</v>
      </c>
      <c r="AP83" s="5">
        <v>1</v>
      </c>
      <c r="AQ83" t="str">
        <f>IF(COUNTIF([1]Country_Classifications!$B$2:$B$40, $A83)&gt;0, "Africa", "Others")</f>
        <v>Others</v>
      </c>
    </row>
    <row r="84" spans="1:43" ht="15.75" hidden="1" customHeight="1" x14ac:dyDescent="0.35">
      <c r="A84" s="3" t="s">
        <v>274</v>
      </c>
      <c r="B84" s="4" t="s">
        <v>275</v>
      </c>
      <c r="C84" s="5">
        <v>11.71</v>
      </c>
      <c r="D84" s="5">
        <v>12.2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18.18</v>
      </c>
      <c r="O84" s="5">
        <v>0</v>
      </c>
      <c r="P84" s="5">
        <v>0</v>
      </c>
      <c r="Q84" s="5">
        <v>0</v>
      </c>
      <c r="R84" s="5">
        <v>0</v>
      </c>
      <c r="S84" s="5">
        <v>9.09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17.579999999999998</v>
      </c>
      <c r="Z84" s="5">
        <v>0</v>
      </c>
      <c r="AA84" s="5">
        <v>4.95</v>
      </c>
      <c r="AB84" s="5">
        <v>17.399999999999999</v>
      </c>
      <c r="AC84" s="5">
        <v>69.13</v>
      </c>
      <c r="AD84" s="5">
        <v>47.86</v>
      </c>
      <c r="AE84" s="5">
        <v>9.48</v>
      </c>
      <c r="AF84" s="5">
        <v>58.13</v>
      </c>
      <c r="AG84" s="5">
        <v>34.43</v>
      </c>
      <c r="AH84" s="5">
        <v>72.260000000000005</v>
      </c>
      <c r="AI84" s="5">
        <v>8.4</v>
      </c>
      <c r="AJ84" s="5">
        <v>87.5</v>
      </c>
      <c r="AK84" s="5">
        <v>50.21</v>
      </c>
      <c r="AL84" s="5">
        <v>17.89</v>
      </c>
      <c r="AM84" s="5">
        <v>11.73</v>
      </c>
      <c r="AN84" s="5">
        <v>57.59</v>
      </c>
      <c r="AO84" s="5">
        <v>10.36</v>
      </c>
      <c r="AP84" s="5">
        <v>0.96</v>
      </c>
      <c r="AQ84" t="str">
        <f>IF(COUNTIF([1]Country_Classifications!$B$2:$B$40, $A84)&gt;0, "Africa", "Others")</f>
        <v>Others</v>
      </c>
    </row>
    <row r="85" spans="1:43" ht="15.75" hidden="1" customHeight="1" x14ac:dyDescent="0.35">
      <c r="A85" s="3" t="s">
        <v>186</v>
      </c>
      <c r="B85" s="4" t="s">
        <v>187</v>
      </c>
      <c r="C85" s="5">
        <v>27.65</v>
      </c>
      <c r="D85" s="5">
        <v>28.8</v>
      </c>
      <c r="E85" s="5">
        <v>9.09</v>
      </c>
      <c r="F85" s="5">
        <v>0</v>
      </c>
      <c r="G85" s="5">
        <v>9.09</v>
      </c>
      <c r="H85" s="5">
        <v>9.09</v>
      </c>
      <c r="I85" s="5">
        <v>9.09</v>
      </c>
      <c r="J85" s="5">
        <v>9.09</v>
      </c>
      <c r="K85" s="5">
        <v>0</v>
      </c>
      <c r="L85" s="5">
        <v>0</v>
      </c>
      <c r="M85" s="5">
        <v>18.18</v>
      </c>
      <c r="N85" s="5">
        <v>40.53</v>
      </c>
      <c r="O85" s="5">
        <v>9.09</v>
      </c>
      <c r="P85" s="5">
        <v>0</v>
      </c>
      <c r="Q85" s="5">
        <v>9.09</v>
      </c>
      <c r="R85" s="5">
        <v>0</v>
      </c>
      <c r="S85" s="5">
        <v>27.27</v>
      </c>
      <c r="T85" s="5">
        <v>0</v>
      </c>
      <c r="U85" s="5">
        <v>0</v>
      </c>
      <c r="V85" s="5">
        <v>7.69</v>
      </c>
      <c r="W85" s="5">
        <v>53.85</v>
      </c>
      <c r="X85" s="5">
        <v>20.51</v>
      </c>
      <c r="Y85" s="5">
        <v>17.579999999999998</v>
      </c>
      <c r="Z85" s="5">
        <v>40</v>
      </c>
      <c r="AA85" s="5">
        <v>58.57</v>
      </c>
      <c r="AB85" s="5">
        <v>65.040000000000006</v>
      </c>
      <c r="AC85" s="5">
        <v>95.35</v>
      </c>
      <c r="AD85" s="5">
        <v>59.49</v>
      </c>
      <c r="AE85" s="5">
        <v>57.45</v>
      </c>
      <c r="AF85" s="5">
        <v>74.930000000000007</v>
      </c>
      <c r="AG85" s="5">
        <v>65.5</v>
      </c>
      <c r="AH85" s="5">
        <v>73.569999999999993</v>
      </c>
      <c r="AI85" s="5">
        <v>66.8</v>
      </c>
      <c r="AJ85" s="5">
        <v>87.5</v>
      </c>
      <c r="AK85" s="5">
        <v>94.49</v>
      </c>
      <c r="AL85" s="5">
        <v>80.45</v>
      </c>
      <c r="AM85" s="5">
        <v>81.430000000000007</v>
      </c>
      <c r="AN85" s="5">
        <v>53.69</v>
      </c>
      <c r="AO85" s="5">
        <v>42.12</v>
      </c>
      <c r="AP85" s="5">
        <v>0.96</v>
      </c>
      <c r="AQ85" t="str">
        <f>IF(COUNTIF([1]Country_Classifications!$B$2:$B$40, $A85)&gt;0, "Africa", "Others")</f>
        <v>Others</v>
      </c>
    </row>
    <row r="86" spans="1:43" ht="15.75" hidden="1" customHeight="1" x14ac:dyDescent="0.35">
      <c r="A86" s="3" t="s">
        <v>216</v>
      </c>
      <c r="B86" s="4" t="s">
        <v>217</v>
      </c>
      <c r="C86" s="5">
        <v>20.68</v>
      </c>
      <c r="D86" s="5">
        <v>20.68</v>
      </c>
      <c r="E86" s="5">
        <v>9.09</v>
      </c>
      <c r="F86" s="5">
        <v>0</v>
      </c>
      <c r="G86" s="5">
        <v>0</v>
      </c>
      <c r="H86" s="5">
        <v>9.09</v>
      </c>
      <c r="I86" s="5">
        <v>9.09</v>
      </c>
      <c r="J86" s="5">
        <v>9.09</v>
      </c>
      <c r="K86" s="5">
        <v>9.09</v>
      </c>
      <c r="L86" s="5">
        <v>0</v>
      </c>
      <c r="M86" s="5">
        <v>9.09</v>
      </c>
      <c r="N86" s="5">
        <v>9.09</v>
      </c>
      <c r="O86" s="5">
        <v>9.09</v>
      </c>
      <c r="P86" s="5">
        <v>9.09</v>
      </c>
      <c r="Q86" s="5">
        <v>9.09</v>
      </c>
      <c r="R86" s="5">
        <v>0</v>
      </c>
      <c r="S86" s="5">
        <v>9.09</v>
      </c>
      <c r="T86" s="5">
        <v>9.09</v>
      </c>
      <c r="U86" s="5">
        <v>9.09</v>
      </c>
      <c r="V86" s="5">
        <v>0</v>
      </c>
      <c r="W86" s="5">
        <v>0</v>
      </c>
      <c r="X86" s="5">
        <v>10.26</v>
      </c>
      <c r="Y86" s="5">
        <v>0</v>
      </c>
      <c r="Z86" s="5">
        <v>0</v>
      </c>
      <c r="AA86" s="5">
        <v>44.2</v>
      </c>
      <c r="AB86" s="5">
        <v>29.3</v>
      </c>
      <c r="AC86" s="5">
        <v>100</v>
      </c>
      <c r="AD86" s="5">
        <v>8.84</v>
      </c>
      <c r="AE86" s="5">
        <v>50.68</v>
      </c>
      <c r="AF86" s="5">
        <v>79.47</v>
      </c>
      <c r="AG86" s="5">
        <v>40.450000000000003</v>
      </c>
      <c r="AH86" s="5">
        <v>54.19</v>
      </c>
      <c r="AI86" s="5">
        <v>58.4</v>
      </c>
      <c r="AJ86" s="5">
        <v>37.5</v>
      </c>
      <c r="AK86" s="5">
        <v>81.78</v>
      </c>
      <c r="AL86" s="5">
        <v>78.89</v>
      </c>
      <c r="AM86" s="5">
        <v>71.77</v>
      </c>
      <c r="AN86" s="5">
        <v>80.61</v>
      </c>
      <c r="AO86" s="5">
        <v>37.58</v>
      </c>
      <c r="AP86" s="5">
        <v>1</v>
      </c>
      <c r="AQ86" t="str">
        <f>IF(COUNTIF([1]Country_Classifications!$B$2:$B$40, $A86)&gt;0, "Africa", "Others")</f>
        <v>Others</v>
      </c>
    </row>
    <row r="87" spans="1:43" ht="15.75" customHeight="1" x14ac:dyDescent="0.35">
      <c r="A87" s="3" t="s">
        <v>262</v>
      </c>
      <c r="B87" s="4" t="s">
        <v>263</v>
      </c>
      <c r="C87" s="5">
        <v>13.49</v>
      </c>
      <c r="D87" s="5">
        <v>13.49</v>
      </c>
      <c r="E87" s="5">
        <v>0</v>
      </c>
      <c r="F87" s="5">
        <v>0</v>
      </c>
      <c r="G87" s="5">
        <v>9.09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9.09</v>
      </c>
      <c r="N87" s="5">
        <v>9.09</v>
      </c>
      <c r="O87" s="5">
        <v>9.09</v>
      </c>
      <c r="P87" s="5">
        <v>0</v>
      </c>
      <c r="Q87" s="5">
        <v>0</v>
      </c>
      <c r="R87" s="5">
        <v>18.18</v>
      </c>
      <c r="S87" s="5">
        <v>0</v>
      </c>
      <c r="T87" s="5">
        <v>0</v>
      </c>
      <c r="U87" s="5">
        <v>0</v>
      </c>
      <c r="V87" s="5">
        <v>7.69</v>
      </c>
      <c r="W87" s="5">
        <v>0</v>
      </c>
      <c r="X87" s="5">
        <v>0</v>
      </c>
      <c r="Y87" s="5">
        <v>8.7899999999999991</v>
      </c>
      <c r="Z87" s="5">
        <v>0</v>
      </c>
      <c r="AA87" s="5">
        <v>20.77</v>
      </c>
      <c r="AB87" s="5">
        <v>17.98</v>
      </c>
      <c r="AC87" s="5">
        <v>44.83</v>
      </c>
      <c r="AD87" s="5">
        <v>83.43</v>
      </c>
      <c r="AE87" s="5">
        <v>24.32</v>
      </c>
      <c r="AF87" s="5">
        <v>32.270000000000003</v>
      </c>
      <c r="AG87" s="5">
        <v>18.66</v>
      </c>
      <c r="AH87" s="5">
        <v>64.37</v>
      </c>
      <c r="AI87" s="5">
        <v>40</v>
      </c>
      <c r="AJ87" s="5">
        <v>12.5</v>
      </c>
      <c r="AK87" s="5">
        <v>68.64</v>
      </c>
      <c r="AL87" s="5">
        <v>53.4</v>
      </c>
      <c r="AM87" s="5">
        <v>50.44</v>
      </c>
      <c r="AN87" s="5">
        <v>41.95</v>
      </c>
      <c r="AO87" s="5">
        <v>5.31</v>
      </c>
      <c r="AP87" s="5">
        <v>1</v>
      </c>
      <c r="AQ87" t="str">
        <f>IF(COUNTIF([1]Country_Classifications!$B$2:$B$40, $A87)&gt;0, "Africa", "Others")</f>
        <v>Africa</v>
      </c>
    </row>
    <row r="88" spans="1:43" ht="15.75" customHeight="1" x14ac:dyDescent="0.35">
      <c r="A88" s="3" t="s">
        <v>190</v>
      </c>
      <c r="B88" s="4" t="s">
        <v>191</v>
      </c>
      <c r="C88" s="5">
        <v>26.29</v>
      </c>
      <c r="D88" s="5">
        <v>26.29</v>
      </c>
      <c r="E88" s="5">
        <v>0</v>
      </c>
      <c r="F88" s="5">
        <v>0</v>
      </c>
      <c r="G88" s="5">
        <v>0</v>
      </c>
      <c r="H88" s="5">
        <v>34.090000000000003</v>
      </c>
      <c r="I88" s="5">
        <v>33.33</v>
      </c>
      <c r="J88" s="5">
        <v>32.58</v>
      </c>
      <c r="K88" s="5">
        <v>0</v>
      </c>
      <c r="L88" s="5">
        <v>0</v>
      </c>
      <c r="M88" s="5">
        <v>55.68</v>
      </c>
      <c r="N88" s="5">
        <v>26.14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67.63</v>
      </c>
      <c r="AB88" s="5">
        <v>46.42</v>
      </c>
      <c r="AC88" s="5">
        <v>84.62</v>
      </c>
      <c r="AD88" s="5">
        <v>17.89</v>
      </c>
      <c r="AE88" s="5">
        <v>68.45</v>
      </c>
      <c r="AF88" s="5">
        <v>72.8</v>
      </c>
      <c r="AG88" s="5">
        <v>51.45</v>
      </c>
      <c r="AH88" s="5">
        <v>100</v>
      </c>
      <c r="AI88" s="5">
        <v>91.8</v>
      </c>
      <c r="AJ88" s="5">
        <v>87.5</v>
      </c>
      <c r="AK88" s="5">
        <v>78.81</v>
      </c>
      <c r="AL88" s="5">
        <v>85</v>
      </c>
      <c r="AM88" s="5">
        <v>87.97</v>
      </c>
      <c r="AN88" s="5">
        <v>95.04</v>
      </c>
      <c r="AO88" s="5">
        <v>37.61</v>
      </c>
      <c r="AP88" s="5">
        <v>1</v>
      </c>
      <c r="AQ88" t="str">
        <f>IF(COUNTIF([1]Country_Classifications!$B$2:$B$40, $A88)&gt;0, "Africa", "Others")</f>
        <v>Africa</v>
      </c>
    </row>
    <row r="89" spans="1:43" ht="15.75" customHeight="1" x14ac:dyDescent="0.35">
      <c r="A89" s="3" t="s">
        <v>222</v>
      </c>
      <c r="B89" s="4" t="s">
        <v>223</v>
      </c>
      <c r="C89" s="5">
        <v>19.71</v>
      </c>
      <c r="D89" s="5">
        <v>19.71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93.18</v>
      </c>
      <c r="K89" s="5">
        <v>0</v>
      </c>
      <c r="L89" s="5">
        <v>0</v>
      </c>
      <c r="M89" s="5">
        <v>0</v>
      </c>
      <c r="N89" s="5">
        <v>9.09</v>
      </c>
      <c r="O89" s="5">
        <v>18.18</v>
      </c>
      <c r="P89" s="5">
        <v>0</v>
      </c>
      <c r="Q89" s="5">
        <v>65.150000000000006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20.51</v>
      </c>
      <c r="Y89" s="5">
        <v>0</v>
      </c>
      <c r="Z89" s="5">
        <v>0</v>
      </c>
      <c r="AA89" s="5">
        <v>36.35</v>
      </c>
      <c r="AB89" s="5">
        <v>18.21</v>
      </c>
      <c r="AC89" s="5">
        <v>15.38</v>
      </c>
      <c r="AD89" s="5">
        <v>95.63</v>
      </c>
      <c r="AE89" s="5">
        <v>49.56</v>
      </c>
      <c r="AF89" s="5">
        <v>36.53</v>
      </c>
      <c r="AG89" s="5">
        <v>35.770000000000003</v>
      </c>
      <c r="AH89" s="5">
        <v>79.44</v>
      </c>
      <c r="AI89" s="5">
        <v>16.8</v>
      </c>
      <c r="AJ89" s="5">
        <v>12.5</v>
      </c>
      <c r="AK89" s="5">
        <v>92.16</v>
      </c>
      <c r="AL89" s="5">
        <v>68.03</v>
      </c>
      <c r="AM89" s="5">
        <v>69.510000000000005</v>
      </c>
      <c r="AN89" s="5">
        <v>35.49</v>
      </c>
      <c r="AO89" s="5">
        <v>19.329999999999998</v>
      </c>
      <c r="AP89" s="5">
        <v>1</v>
      </c>
      <c r="AQ89" t="str">
        <f>IF(COUNTIF([1]Country_Classifications!$B$2:$B$40, $A89)&gt;0, "Africa", "Others")</f>
        <v>Africa</v>
      </c>
    </row>
    <row r="90" spans="1:43" ht="15.75" hidden="1" customHeight="1" x14ac:dyDescent="0.35">
      <c r="A90" s="3" t="s">
        <v>130</v>
      </c>
      <c r="B90" s="4" t="s">
        <v>131</v>
      </c>
      <c r="C90" s="5">
        <v>38.54</v>
      </c>
      <c r="D90" s="5">
        <v>40.14</v>
      </c>
      <c r="E90" s="5">
        <v>60.61</v>
      </c>
      <c r="F90" s="5">
        <v>0</v>
      </c>
      <c r="G90" s="5">
        <v>0</v>
      </c>
      <c r="H90" s="5">
        <v>40.909999999999997</v>
      </c>
      <c r="I90" s="5">
        <v>24.2</v>
      </c>
      <c r="J90" s="5">
        <v>11.59</v>
      </c>
      <c r="K90" s="5">
        <v>49.24</v>
      </c>
      <c r="L90" s="5">
        <v>38.64</v>
      </c>
      <c r="M90" s="5">
        <v>81.819999999999993</v>
      </c>
      <c r="N90" s="5">
        <v>26.14</v>
      </c>
      <c r="O90" s="5">
        <v>48.3</v>
      </c>
      <c r="P90" s="5">
        <v>0</v>
      </c>
      <c r="Q90" s="5">
        <v>48.48</v>
      </c>
      <c r="R90" s="5">
        <v>0</v>
      </c>
      <c r="S90" s="5">
        <v>73.41</v>
      </c>
      <c r="T90" s="5">
        <v>0</v>
      </c>
      <c r="U90" s="5">
        <v>42.84</v>
      </c>
      <c r="V90" s="5">
        <v>23.08</v>
      </c>
      <c r="W90" s="5">
        <v>0</v>
      </c>
      <c r="X90" s="5">
        <v>30.77</v>
      </c>
      <c r="Y90" s="5">
        <v>8.7899999999999991</v>
      </c>
      <c r="Z90" s="5">
        <v>17.5</v>
      </c>
      <c r="AA90" s="5">
        <v>43.96</v>
      </c>
      <c r="AB90" s="5">
        <v>64.760000000000005</v>
      </c>
      <c r="AC90" s="5">
        <v>86.52</v>
      </c>
      <c r="AD90" s="5">
        <v>20.37</v>
      </c>
      <c r="AE90" s="5">
        <v>61.39</v>
      </c>
      <c r="AF90" s="5">
        <v>76</v>
      </c>
      <c r="AG90" s="5">
        <v>44.63</v>
      </c>
      <c r="AH90" s="5">
        <v>98.76</v>
      </c>
      <c r="AI90" s="5">
        <v>83.4</v>
      </c>
      <c r="AJ90" s="5">
        <v>87.5</v>
      </c>
      <c r="AK90" s="5">
        <v>94.49</v>
      </c>
      <c r="AL90" s="5">
        <v>90.39</v>
      </c>
      <c r="AM90" s="5">
        <v>60.54</v>
      </c>
      <c r="AN90" s="5">
        <v>93.91</v>
      </c>
      <c r="AO90" s="5">
        <v>20.059999999999999</v>
      </c>
      <c r="AP90" s="5">
        <v>0.96</v>
      </c>
      <c r="AQ90" t="str">
        <f>IF(COUNTIF([1]Country_Classifications!$B$2:$B$40, $A90)&gt;0, "Africa", "Others")</f>
        <v>Others</v>
      </c>
    </row>
    <row r="91" spans="1:43" ht="15.75" customHeight="1" x14ac:dyDescent="0.35">
      <c r="A91" s="3" t="s">
        <v>272</v>
      </c>
      <c r="B91" s="4" t="s">
        <v>273</v>
      </c>
      <c r="C91" s="5">
        <v>12.01</v>
      </c>
      <c r="D91" s="5">
        <v>12.01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73.48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10.26</v>
      </c>
      <c r="Y91" s="5">
        <v>4.4000000000000004</v>
      </c>
      <c r="Z91" s="5">
        <v>0</v>
      </c>
      <c r="AA91" s="5">
        <v>23.91</v>
      </c>
      <c r="AB91" s="5">
        <v>7.89</v>
      </c>
      <c r="AC91" s="5">
        <v>100</v>
      </c>
      <c r="AD91" s="5">
        <v>3.16</v>
      </c>
      <c r="AE91" s="5">
        <v>30.32</v>
      </c>
      <c r="AF91" s="5">
        <v>7.2</v>
      </c>
      <c r="AG91" s="5">
        <v>47.33</v>
      </c>
      <c r="AH91" s="5">
        <v>38.96</v>
      </c>
      <c r="AI91" s="5">
        <v>83.4</v>
      </c>
      <c r="AJ91" s="5">
        <v>0</v>
      </c>
      <c r="AK91" s="5">
        <v>66.099999999999994</v>
      </c>
      <c r="AL91" s="5">
        <v>31.05</v>
      </c>
      <c r="AM91" s="5">
        <v>69.760000000000005</v>
      </c>
      <c r="AN91" s="5">
        <v>0.41</v>
      </c>
      <c r="AO91" s="5">
        <v>10.050000000000001</v>
      </c>
      <c r="AP91" s="5">
        <v>1</v>
      </c>
      <c r="AQ91" t="str">
        <f>IF(COUNTIF([1]Country_Classifications!$B$2:$B$40, $A91)&gt;0, "Africa", "Others")</f>
        <v>Africa</v>
      </c>
    </row>
    <row r="92" spans="1:43" ht="15.75" customHeight="1" x14ac:dyDescent="0.35">
      <c r="A92" s="3" t="s">
        <v>96</v>
      </c>
      <c r="B92" s="4" t="s">
        <v>97</v>
      </c>
      <c r="C92" s="5">
        <v>45.93</v>
      </c>
      <c r="D92" s="5">
        <v>45.93</v>
      </c>
      <c r="E92" s="5">
        <v>74.62</v>
      </c>
      <c r="F92" s="5">
        <v>68.41</v>
      </c>
      <c r="G92" s="5">
        <v>73.11</v>
      </c>
      <c r="H92" s="5">
        <v>82.95</v>
      </c>
      <c r="I92" s="5">
        <v>63.26</v>
      </c>
      <c r="J92" s="5">
        <v>57.27</v>
      </c>
      <c r="K92" s="5">
        <v>63.26</v>
      </c>
      <c r="L92" s="5">
        <v>0</v>
      </c>
      <c r="M92" s="5">
        <v>73.11</v>
      </c>
      <c r="N92" s="5">
        <v>75.38</v>
      </c>
      <c r="O92" s="5">
        <v>73.86</v>
      </c>
      <c r="P92" s="5">
        <v>69.09</v>
      </c>
      <c r="Q92" s="5">
        <v>64.02</v>
      </c>
      <c r="R92" s="5">
        <v>63.64</v>
      </c>
      <c r="S92" s="5">
        <v>0</v>
      </c>
      <c r="T92" s="5">
        <v>0</v>
      </c>
      <c r="U92" s="5">
        <v>0</v>
      </c>
      <c r="V92" s="5">
        <v>0</v>
      </c>
      <c r="W92" s="5">
        <v>15.38</v>
      </c>
      <c r="X92" s="5">
        <v>20.51</v>
      </c>
      <c r="Y92" s="5">
        <v>8.7899999999999991</v>
      </c>
      <c r="Z92" s="5">
        <v>90</v>
      </c>
      <c r="AA92" s="5">
        <v>36.35</v>
      </c>
      <c r="AB92" s="5">
        <v>25.2</v>
      </c>
      <c r="AC92" s="5">
        <v>26.76</v>
      </c>
      <c r="AD92" s="5">
        <v>25</v>
      </c>
      <c r="AE92" s="5">
        <v>28.85</v>
      </c>
      <c r="AF92" s="5">
        <v>38.130000000000003</v>
      </c>
      <c r="AG92" s="5">
        <v>22.54</v>
      </c>
      <c r="AH92" s="5">
        <v>81.52</v>
      </c>
      <c r="AI92" s="5">
        <v>83.4</v>
      </c>
      <c r="AJ92" s="5">
        <v>87.5</v>
      </c>
      <c r="AK92" s="5">
        <v>87.92</v>
      </c>
      <c r="AL92" s="5">
        <v>25.99</v>
      </c>
      <c r="AM92" s="5">
        <v>77.290000000000006</v>
      </c>
      <c r="AN92" s="5">
        <v>57.62</v>
      </c>
      <c r="AO92" s="5">
        <v>11.56</v>
      </c>
      <c r="AP92" s="5">
        <v>1</v>
      </c>
      <c r="AQ92" t="str">
        <f>IF(COUNTIF([1]Country_Classifications!$B$2:$B$40, $A92)&gt;0, "Africa", "Others")</f>
        <v>Africa</v>
      </c>
    </row>
    <row r="93" spans="1:43" ht="15.75" hidden="1" customHeight="1" x14ac:dyDescent="0.35">
      <c r="A93" s="3" t="s">
        <v>26</v>
      </c>
      <c r="B93" s="4" t="s">
        <v>27</v>
      </c>
      <c r="C93" s="5">
        <v>69.510000000000005</v>
      </c>
      <c r="D93" s="5">
        <v>77.23</v>
      </c>
      <c r="E93" s="5">
        <v>72.5</v>
      </c>
      <c r="F93" s="5">
        <v>98.48</v>
      </c>
      <c r="G93" s="5">
        <v>79.17</v>
      </c>
      <c r="H93" s="5">
        <v>92.05</v>
      </c>
      <c r="I93" s="5">
        <v>92.05</v>
      </c>
      <c r="J93" s="5">
        <v>92.05</v>
      </c>
      <c r="K93" s="5">
        <v>76.89</v>
      </c>
      <c r="L93" s="5">
        <v>73.180000000000007</v>
      </c>
      <c r="M93" s="5">
        <v>78.41</v>
      </c>
      <c r="N93" s="5">
        <v>47.35</v>
      </c>
      <c r="O93" s="5">
        <v>92.73</v>
      </c>
      <c r="P93" s="5">
        <v>73.86</v>
      </c>
      <c r="Q93" s="5">
        <v>73.180000000000007</v>
      </c>
      <c r="R93" s="5">
        <v>97.73</v>
      </c>
      <c r="S93" s="5">
        <v>79.36</v>
      </c>
      <c r="T93" s="5">
        <v>82.95</v>
      </c>
      <c r="U93" s="5">
        <v>18.18</v>
      </c>
      <c r="V93" s="5">
        <v>49.23</v>
      </c>
      <c r="W93" s="5">
        <v>53.85</v>
      </c>
      <c r="X93" s="5">
        <v>57.44</v>
      </c>
      <c r="Y93" s="5">
        <v>43.96</v>
      </c>
      <c r="Z93" s="5">
        <v>85</v>
      </c>
      <c r="AA93" s="5">
        <v>87.32</v>
      </c>
      <c r="AB93" s="5">
        <v>83.35</v>
      </c>
      <c r="AC93" s="5">
        <v>95.79</v>
      </c>
      <c r="AD93" s="5">
        <v>53.66</v>
      </c>
      <c r="AE93" s="5">
        <v>94.16</v>
      </c>
      <c r="AF93" s="5">
        <v>97.6</v>
      </c>
      <c r="AG93" s="5">
        <v>80.55</v>
      </c>
      <c r="AH93" s="5">
        <v>99.18</v>
      </c>
      <c r="AI93" s="5">
        <v>100</v>
      </c>
      <c r="AJ93" s="5">
        <v>93.75</v>
      </c>
      <c r="AK93" s="5">
        <v>95.13</v>
      </c>
      <c r="AL93" s="5">
        <v>89.37</v>
      </c>
      <c r="AM93" s="5">
        <v>81.709999999999994</v>
      </c>
      <c r="AN93" s="5">
        <v>70.290000000000006</v>
      </c>
      <c r="AO93" s="5">
        <v>83.39</v>
      </c>
      <c r="AP93" s="5">
        <v>0.9</v>
      </c>
      <c r="AQ93" t="str">
        <f>IF(COUNTIF([1]Country_Classifications!$B$2:$B$40, $A93)&gt;0, "Africa", "Others")</f>
        <v>Others</v>
      </c>
    </row>
    <row r="94" spans="1:43" ht="15.75" hidden="1" customHeight="1" x14ac:dyDescent="0.35">
      <c r="A94" s="3" t="s">
        <v>17</v>
      </c>
      <c r="B94" s="4" t="s">
        <v>18</v>
      </c>
      <c r="C94" s="5">
        <v>75.260000000000005</v>
      </c>
      <c r="D94" s="5">
        <v>75.260000000000005</v>
      </c>
      <c r="E94" s="5">
        <v>72.5</v>
      </c>
      <c r="F94" s="5">
        <v>80.3</v>
      </c>
      <c r="G94" s="5">
        <v>66.7</v>
      </c>
      <c r="H94" s="5">
        <v>73.86</v>
      </c>
      <c r="I94" s="5">
        <v>73.86</v>
      </c>
      <c r="J94" s="5">
        <v>73.86</v>
      </c>
      <c r="K94" s="5">
        <v>70.08</v>
      </c>
      <c r="L94" s="5">
        <v>73.180000000000007</v>
      </c>
      <c r="M94" s="5">
        <v>66.7</v>
      </c>
      <c r="N94" s="5">
        <v>66.02</v>
      </c>
      <c r="O94" s="5">
        <v>74.55</v>
      </c>
      <c r="P94" s="5">
        <v>73.86</v>
      </c>
      <c r="Q94" s="5">
        <v>73.180000000000007</v>
      </c>
      <c r="R94" s="5">
        <v>79.55</v>
      </c>
      <c r="S94" s="5">
        <v>69.319999999999993</v>
      </c>
      <c r="T94" s="5">
        <v>63.81</v>
      </c>
      <c r="U94" s="5">
        <v>64.83</v>
      </c>
      <c r="V94" s="5">
        <v>38.46</v>
      </c>
      <c r="W94" s="5">
        <v>15.38</v>
      </c>
      <c r="X94" s="5">
        <v>51.28</v>
      </c>
      <c r="Y94" s="5">
        <v>39.56</v>
      </c>
      <c r="Z94" s="5">
        <v>70</v>
      </c>
      <c r="AA94" s="5">
        <v>100</v>
      </c>
      <c r="AB94" s="5">
        <v>89.63</v>
      </c>
      <c r="AC94" s="5">
        <v>93.94</v>
      </c>
      <c r="AD94" s="5">
        <v>98.61</v>
      </c>
      <c r="AE94" s="5">
        <v>100</v>
      </c>
      <c r="AF94" s="5">
        <v>92.27</v>
      </c>
      <c r="AG94" s="5">
        <v>100</v>
      </c>
      <c r="AH94" s="5">
        <v>96.87</v>
      </c>
      <c r="AI94" s="5">
        <v>66.8</v>
      </c>
      <c r="AJ94" s="5">
        <v>100</v>
      </c>
      <c r="AK94" s="5">
        <v>97.67</v>
      </c>
      <c r="AL94" s="5">
        <v>82.34</v>
      </c>
      <c r="AM94" s="5">
        <v>96.25</v>
      </c>
      <c r="AN94" s="5">
        <v>79.83</v>
      </c>
      <c r="AO94" s="5">
        <v>100</v>
      </c>
      <c r="AP94" s="5">
        <v>1</v>
      </c>
      <c r="AQ94" t="str">
        <f>IF(COUNTIF([1]Country_Classifications!$B$2:$B$40, $A94)&gt;0, "Africa", "Others")</f>
        <v>Others</v>
      </c>
    </row>
    <row r="95" spans="1:43" ht="15.75" hidden="1" customHeight="1" x14ac:dyDescent="0.35">
      <c r="A95" s="3" t="s">
        <v>136</v>
      </c>
      <c r="B95" s="4" t="s">
        <v>137</v>
      </c>
      <c r="C95" s="5">
        <v>37.69</v>
      </c>
      <c r="D95" s="5">
        <v>39.26</v>
      </c>
      <c r="E95" s="5">
        <v>57.95</v>
      </c>
      <c r="F95" s="5">
        <v>0</v>
      </c>
      <c r="G95" s="5">
        <v>59.47</v>
      </c>
      <c r="H95" s="5">
        <v>59.47</v>
      </c>
      <c r="I95" s="5">
        <v>58.71</v>
      </c>
      <c r="J95" s="5">
        <v>0</v>
      </c>
      <c r="K95" s="5">
        <v>50</v>
      </c>
      <c r="L95" s="5">
        <v>0</v>
      </c>
      <c r="M95" s="5">
        <v>58.71</v>
      </c>
      <c r="N95" s="5">
        <v>60.98</v>
      </c>
      <c r="O95" s="5">
        <v>59.66</v>
      </c>
      <c r="P95" s="5">
        <v>0</v>
      </c>
      <c r="Q95" s="5">
        <v>0</v>
      </c>
      <c r="R95" s="5">
        <v>57.95</v>
      </c>
      <c r="S95" s="5">
        <v>67.8</v>
      </c>
      <c r="T95" s="5">
        <v>0</v>
      </c>
      <c r="U95" s="5">
        <v>0</v>
      </c>
      <c r="V95" s="5">
        <v>30.77</v>
      </c>
      <c r="W95" s="5">
        <v>46.15</v>
      </c>
      <c r="X95" s="5">
        <v>0</v>
      </c>
      <c r="Y95" s="5">
        <v>35.159999999999997</v>
      </c>
      <c r="Z95" s="5">
        <v>0</v>
      </c>
      <c r="AA95" s="5">
        <v>49.03</v>
      </c>
      <c r="AB95" s="5">
        <v>26.62</v>
      </c>
      <c r="AC95" s="5">
        <v>67.209999999999994</v>
      </c>
      <c r="AD95" s="5">
        <v>100</v>
      </c>
      <c r="AE95" s="5">
        <v>45.77</v>
      </c>
      <c r="AF95" s="5">
        <v>55.73</v>
      </c>
      <c r="AG95" s="5">
        <v>31.44</v>
      </c>
      <c r="AH95" s="5">
        <v>68.25</v>
      </c>
      <c r="AI95" s="5">
        <v>40</v>
      </c>
      <c r="AJ95" s="5">
        <v>12.5</v>
      </c>
      <c r="AK95" s="5">
        <v>73.52</v>
      </c>
      <c r="AL95" s="5">
        <v>66.56</v>
      </c>
      <c r="AM95" s="5">
        <v>73.7</v>
      </c>
      <c r="AN95" s="5">
        <v>60.5</v>
      </c>
      <c r="AO95" s="5">
        <v>29.54</v>
      </c>
      <c r="AP95" s="5">
        <v>0.96</v>
      </c>
      <c r="AQ95" t="str">
        <f>IF(COUNTIF([1]Country_Classifications!$B$2:$B$40, $A95)&gt;0, "Africa", "Others")</f>
        <v>Others</v>
      </c>
    </row>
    <row r="96" spans="1:43" ht="15.75" hidden="1" customHeight="1" x14ac:dyDescent="0.35">
      <c r="A96" s="3" t="s">
        <v>99</v>
      </c>
      <c r="B96" s="4" t="s">
        <v>100</v>
      </c>
      <c r="C96" s="5">
        <v>45.81</v>
      </c>
      <c r="D96" s="5">
        <v>45.81</v>
      </c>
      <c r="E96" s="5">
        <v>0</v>
      </c>
      <c r="F96" s="5">
        <v>9.09</v>
      </c>
      <c r="G96" s="5">
        <v>46.21</v>
      </c>
      <c r="H96" s="5">
        <v>48.48</v>
      </c>
      <c r="I96" s="5">
        <v>48.48</v>
      </c>
      <c r="J96" s="5">
        <v>47.73</v>
      </c>
      <c r="K96" s="5">
        <v>0</v>
      </c>
      <c r="L96" s="5">
        <v>0</v>
      </c>
      <c r="M96" s="5">
        <v>61.74</v>
      </c>
      <c r="N96" s="5">
        <v>44.32</v>
      </c>
      <c r="O96" s="5">
        <v>37.5</v>
      </c>
      <c r="P96" s="5">
        <v>10.61</v>
      </c>
      <c r="Q96" s="5">
        <v>47.73</v>
      </c>
      <c r="R96" s="5">
        <v>11.36</v>
      </c>
      <c r="S96" s="5">
        <v>9.09</v>
      </c>
      <c r="T96" s="5">
        <v>48.3</v>
      </c>
      <c r="U96" s="5">
        <v>41.48</v>
      </c>
      <c r="V96" s="5">
        <v>30.77</v>
      </c>
      <c r="W96" s="5">
        <v>46.15</v>
      </c>
      <c r="X96" s="5">
        <v>30.77</v>
      </c>
      <c r="Y96" s="5">
        <v>17.579999999999998</v>
      </c>
      <c r="Z96" s="5">
        <v>0</v>
      </c>
      <c r="AA96" s="5">
        <v>85.75</v>
      </c>
      <c r="AB96" s="5">
        <v>84.96</v>
      </c>
      <c r="AC96" s="5">
        <v>95.7</v>
      </c>
      <c r="AD96" s="5">
        <v>85.98</v>
      </c>
      <c r="AE96" s="5">
        <v>93.21</v>
      </c>
      <c r="AF96" s="5">
        <v>93.33</v>
      </c>
      <c r="AG96" s="5">
        <v>78.849999999999994</v>
      </c>
      <c r="AH96" s="5">
        <v>81.75</v>
      </c>
      <c r="AI96" s="5">
        <v>66.8</v>
      </c>
      <c r="AJ96" s="5">
        <v>37.5</v>
      </c>
      <c r="AK96" s="5">
        <v>64.62</v>
      </c>
      <c r="AL96" s="5">
        <v>98.99</v>
      </c>
      <c r="AM96" s="5">
        <v>87.69</v>
      </c>
      <c r="AN96" s="5">
        <v>86.04</v>
      </c>
      <c r="AO96" s="5">
        <v>90.17</v>
      </c>
      <c r="AP96" s="5">
        <v>1</v>
      </c>
      <c r="AQ96" t="str">
        <f>IF(COUNTIF([1]Country_Classifications!$B$2:$B$40, $A96)&gt;0, "Africa", "Others")</f>
        <v>Others</v>
      </c>
    </row>
    <row r="97" spans="1:43" ht="15.75" hidden="1" customHeight="1" x14ac:dyDescent="0.35">
      <c r="A97" s="3" t="s">
        <v>146</v>
      </c>
      <c r="B97" s="4" t="s">
        <v>147</v>
      </c>
      <c r="C97" s="5">
        <v>36.21</v>
      </c>
      <c r="D97" s="5">
        <v>36.21</v>
      </c>
      <c r="E97" s="5">
        <v>57.58</v>
      </c>
      <c r="F97" s="5">
        <v>54.55</v>
      </c>
      <c r="G97" s="5">
        <v>70.45</v>
      </c>
      <c r="H97" s="5">
        <v>70.45</v>
      </c>
      <c r="I97" s="5">
        <v>60.61</v>
      </c>
      <c r="J97" s="5">
        <v>57.58</v>
      </c>
      <c r="K97" s="5">
        <v>0</v>
      </c>
      <c r="L97" s="5">
        <v>0</v>
      </c>
      <c r="M97" s="5">
        <v>0</v>
      </c>
      <c r="N97" s="5">
        <v>0</v>
      </c>
      <c r="O97" s="5">
        <v>69.89</v>
      </c>
      <c r="P97" s="5">
        <v>0</v>
      </c>
      <c r="Q97" s="5">
        <v>58.33</v>
      </c>
      <c r="R97" s="5">
        <v>0</v>
      </c>
      <c r="S97" s="5">
        <v>31.82</v>
      </c>
      <c r="T97" s="5">
        <v>0</v>
      </c>
      <c r="U97" s="5">
        <v>68.180000000000007</v>
      </c>
      <c r="V97" s="5">
        <v>0</v>
      </c>
      <c r="W97" s="5">
        <v>0</v>
      </c>
      <c r="X97" s="5">
        <v>0</v>
      </c>
      <c r="Y97" s="5">
        <v>0</v>
      </c>
      <c r="Z97" s="5">
        <v>32.5</v>
      </c>
      <c r="AA97" s="5">
        <v>19.079999999999998</v>
      </c>
      <c r="AB97" s="5">
        <v>56.29</v>
      </c>
      <c r="AC97" s="5">
        <v>8.2200000000000006</v>
      </c>
      <c r="AD97" s="5">
        <v>4.8899999999999997</v>
      </c>
      <c r="AE97" s="5">
        <v>63.9</v>
      </c>
      <c r="AF97" s="5">
        <v>82.13</v>
      </c>
      <c r="AG97" s="5">
        <v>27.23</v>
      </c>
      <c r="AH97" s="5">
        <v>96.85</v>
      </c>
      <c r="AI97" s="5">
        <v>58.4</v>
      </c>
      <c r="AJ97" s="5">
        <v>87.5</v>
      </c>
      <c r="AK97" s="5">
        <v>84.53</v>
      </c>
      <c r="AL97" s="5">
        <v>78.010000000000005</v>
      </c>
      <c r="AM97" s="5">
        <v>29.47</v>
      </c>
      <c r="AN97" s="5">
        <v>82.98</v>
      </c>
      <c r="AO97" s="5">
        <v>30.97</v>
      </c>
      <c r="AP97" s="5">
        <v>1</v>
      </c>
      <c r="AQ97" t="str">
        <f>IF(COUNTIF([1]Country_Classifications!$B$2:$B$40, $A97)&gt;0, "Africa", "Others")</f>
        <v>Others</v>
      </c>
    </row>
    <row r="98" spans="1:43" ht="15.75" hidden="1" customHeight="1" x14ac:dyDescent="0.35">
      <c r="A98" s="3" t="s">
        <v>124</v>
      </c>
      <c r="B98" s="4" t="s">
        <v>125</v>
      </c>
      <c r="C98" s="5">
        <v>38.93</v>
      </c>
      <c r="D98" s="5">
        <v>40.549999999999997</v>
      </c>
      <c r="E98" s="5">
        <v>66.67</v>
      </c>
      <c r="F98" s="5">
        <v>0</v>
      </c>
      <c r="G98" s="5">
        <v>0</v>
      </c>
      <c r="H98" s="5">
        <v>0</v>
      </c>
      <c r="I98" s="5">
        <v>64.39</v>
      </c>
      <c r="J98" s="5">
        <v>65.91</v>
      </c>
      <c r="K98" s="5">
        <v>0</v>
      </c>
      <c r="L98" s="5">
        <v>0</v>
      </c>
      <c r="M98" s="5">
        <v>75</v>
      </c>
      <c r="N98" s="5">
        <v>67.42</v>
      </c>
      <c r="O98" s="5">
        <v>67.05</v>
      </c>
      <c r="P98" s="5">
        <v>64.39</v>
      </c>
      <c r="Q98" s="5">
        <v>64.39</v>
      </c>
      <c r="R98" s="5">
        <v>63.64</v>
      </c>
      <c r="S98" s="5">
        <v>74.239999999999995</v>
      </c>
      <c r="T98" s="5">
        <v>64.77</v>
      </c>
      <c r="U98" s="5">
        <v>0</v>
      </c>
      <c r="V98" s="5">
        <v>15.38</v>
      </c>
      <c r="W98" s="5">
        <v>7.69</v>
      </c>
      <c r="X98" s="5">
        <v>30.77</v>
      </c>
      <c r="Y98" s="5">
        <v>0</v>
      </c>
      <c r="Z98" s="5">
        <v>47.5</v>
      </c>
      <c r="AA98" s="5">
        <v>12.92</v>
      </c>
      <c r="AB98" s="5">
        <v>39.53</v>
      </c>
      <c r="AC98" s="5">
        <v>24.97</v>
      </c>
      <c r="AD98" s="5">
        <v>50.27</v>
      </c>
      <c r="AE98" s="5">
        <v>28.6</v>
      </c>
      <c r="AF98" s="5">
        <v>47.2</v>
      </c>
      <c r="AG98" s="5">
        <v>2.19</v>
      </c>
      <c r="AH98" s="5">
        <v>96.53</v>
      </c>
      <c r="AI98" s="5">
        <v>58.4</v>
      </c>
      <c r="AJ98" s="5">
        <v>87.5</v>
      </c>
      <c r="AK98" s="5">
        <v>98.73</v>
      </c>
      <c r="AL98" s="5">
        <v>29.3</v>
      </c>
      <c r="AM98" s="5">
        <v>58.66</v>
      </c>
      <c r="AN98" s="5">
        <v>82.77</v>
      </c>
      <c r="AO98" s="5">
        <v>11.67</v>
      </c>
      <c r="AP98" s="5">
        <v>0.96</v>
      </c>
      <c r="AQ98" t="str">
        <f>IF(COUNTIF([1]Country_Classifications!$B$2:$B$40, $A98)&gt;0, "Africa", "Others")</f>
        <v>Others</v>
      </c>
    </row>
    <row r="99" spans="1:43" ht="15.75" hidden="1" customHeight="1" x14ac:dyDescent="0.35">
      <c r="A99" s="3" t="s">
        <v>196</v>
      </c>
      <c r="B99" s="4" t="s">
        <v>197</v>
      </c>
      <c r="C99" s="5">
        <v>25.56</v>
      </c>
      <c r="D99" s="5">
        <v>25.56</v>
      </c>
      <c r="E99" s="5">
        <v>9.85</v>
      </c>
      <c r="F99" s="5">
        <v>0</v>
      </c>
      <c r="G99" s="5">
        <v>9.09</v>
      </c>
      <c r="H99" s="5">
        <v>13.64</v>
      </c>
      <c r="I99" s="5">
        <v>11.36</v>
      </c>
      <c r="J99" s="5">
        <v>9.85</v>
      </c>
      <c r="K99" s="5">
        <v>9.85</v>
      </c>
      <c r="L99" s="5">
        <v>9.85</v>
      </c>
      <c r="M99" s="5">
        <v>9.09</v>
      </c>
      <c r="N99" s="5">
        <v>9.09</v>
      </c>
      <c r="O99" s="5">
        <v>10.23</v>
      </c>
      <c r="P99" s="5">
        <v>10.61</v>
      </c>
      <c r="Q99" s="5">
        <v>11.36</v>
      </c>
      <c r="R99" s="5">
        <v>0</v>
      </c>
      <c r="S99" s="5">
        <v>9.85</v>
      </c>
      <c r="T99" s="5">
        <v>0</v>
      </c>
      <c r="U99" s="5">
        <v>0</v>
      </c>
      <c r="V99" s="5">
        <v>0</v>
      </c>
      <c r="W99" s="5">
        <v>15.38</v>
      </c>
      <c r="X99" s="5">
        <v>0</v>
      </c>
      <c r="Y99" s="5">
        <v>21.98</v>
      </c>
      <c r="Z99" s="5">
        <v>31.25</v>
      </c>
      <c r="AA99" s="5">
        <v>52.78</v>
      </c>
      <c r="AB99" s="5">
        <v>83.32</v>
      </c>
      <c r="AC99" s="5">
        <v>77.78</v>
      </c>
      <c r="AD99" s="5">
        <v>67.98</v>
      </c>
      <c r="AE99" s="5">
        <v>46.74</v>
      </c>
      <c r="AF99" s="5">
        <v>71.2</v>
      </c>
      <c r="AG99" s="5">
        <v>60.69</v>
      </c>
      <c r="AH99" s="5">
        <v>64.87</v>
      </c>
      <c r="AI99" s="5">
        <v>50.2</v>
      </c>
      <c r="AJ99" s="5">
        <v>87.5</v>
      </c>
      <c r="AK99" s="5">
        <v>78.599999999999994</v>
      </c>
      <c r="AL99" s="5">
        <v>65.69</v>
      </c>
      <c r="AM99" s="5">
        <v>79.19</v>
      </c>
      <c r="AN99" s="5">
        <v>69.239999999999995</v>
      </c>
      <c r="AO99" s="5">
        <v>39.82</v>
      </c>
      <c r="AP99" s="5">
        <v>1</v>
      </c>
      <c r="AQ99" t="str">
        <f>IF(COUNTIF([1]Country_Classifications!$B$2:$B$40, $A99)&gt;0, "Africa", "Others")</f>
        <v>Others</v>
      </c>
    </row>
    <row r="100" spans="1:43" ht="15.75" hidden="1" customHeight="1" x14ac:dyDescent="0.35">
      <c r="A100" s="3" t="s">
        <v>87</v>
      </c>
      <c r="B100" s="4" t="s">
        <v>88</v>
      </c>
      <c r="C100" s="5">
        <v>50.06</v>
      </c>
      <c r="D100" s="5">
        <v>50.06</v>
      </c>
      <c r="E100" s="5">
        <v>62.05</v>
      </c>
      <c r="F100" s="5">
        <v>61.36</v>
      </c>
      <c r="G100" s="5">
        <v>0</v>
      </c>
      <c r="H100" s="5">
        <v>64.77</v>
      </c>
      <c r="I100" s="5">
        <v>64.77</v>
      </c>
      <c r="J100" s="5">
        <v>63.41</v>
      </c>
      <c r="K100" s="5">
        <v>62.05</v>
      </c>
      <c r="L100" s="5">
        <v>63.41</v>
      </c>
      <c r="M100" s="5">
        <v>61.36</v>
      </c>
      <c r="N100" s="5">
        <v>64.77</v>
      </c>
      <c r="O100" s="5">
        <v>62.9</v>
      </c>
      <c r="P100" s="5">
        <v>0</v>
      </c>
      <c r="Q100" s="5">
        <v>64.09</v>
      </c>
      <c r="R100" s="5">
        <v>62.39</v>
      </c>
      <c r="S100" s="5">
        <v>80.91</v>
      </c>
      <c r="T100" s="5">
        <v>0</v>
      </c>
      <c r="U100" s="5">
        <v>0</v>
      </c>
      <c r="V100" s="5">
        <v>15.38</v>
      </c>
      <c r="W100" s="5">
        <v>38.46</v>
      </c>
      <c r="X100" s="5">
        <v>0</v>
      </c>
      <c r="Y100" s="5">
        <v>8.7899999999999991</v>
      </c>
      <c r="Z100" s="5">
        <v>47.5</v>
      </c>
      <c r="AA100" s="5">
        <v>44.93</v>
      </c>
      <c r="AB100" s="5">
        <v>45.24</v>
      </c>
      <c r="AC100" s="5">
        <v>89.61</v>
      </c>
      <c r="AD100" s="5">
        <v>60.11</v>
      </c>
      <c r="AE100" s="5">
        <v>40.909999999999997</v>
      </c>
      <c r="AF100" s="5">
        <v>79.47</v>
      </c>
      <c r="AG100" s="5">
        <v>38.869999999999997</v>
      </c>
      <c r="AH100" s="5">
        <v>82.77</v>
      </c>
      <c r="AI100" s="5">
        <v>75</v>
      </c>
      <c r="AJ100" s="5">
        <v>87.5</v>
      </c>
      <c r="AK100" s="5">
        <v>70.55</v>
      </c>
      <c r="AL100" s="5">
        <v>62.6</v>
      </c>
      <c r="AM100" s="5">
        <v>66.72</v>
      </c>
      <c r="AN100" s="5">
        <v>96.69</v>
      </c>
      <c r="AO100" s="5">
        <v>39.18</v>
      </c>
      <c r="AP100" s="5">
        <v>1</v>
      </c>
      <c r="AQ100" t="str">
        <f>IF(COUNTIF([1]Country_Classifications!$B$2:$B$40, $A100)&gt;0, "Africa", "Others")</f>
        <v>Others</v>
      </c>
    </row>
    <row r="101" spans="1:43" ht="15.75" hidden="1" customHeight="1" x14ac:dyDescent="0.35">
      <c r="A101" s="3" t="s">
        <v>158</v>
      </c>
      <c r="B101" s="4" t="s">
        <v>159</v>
      </c>
      <c r="C101" s="5">
        <v>32.979999999999997</v>
      </c>
      <c r="D101" s="5">
        <v>32.979999999999997</v>
      </c>
      <c r="E101" s="5">
        <v>37.880000000000003</v>
      </c>
      <c r="F101" s="5">
        <v>19.7</v>
      </c>
      <c r="G101" s="5">
        <v>20.45</v>
      </c>
      <c r="H101" s="5">
        <v>40.909999999999997</v>
      </c>
      <c r="I101" s="5">
        <v>62.12</v>
      </c>
      <c r="J101" s="5">
        <v>22.73</v>
      </c>
      <c r="K101" s="5">
        <v>18.940000000000001</v>
      </c>
      <c r="L101" s="5">
        <v>19.7</v>
      </c>
      <c r="M101" s="5">
        <v>19.7</v>
      </c>
      <c r="N101" s="5">
        <v>31.06</v>
      </c>
      <c r="O101" s="5">
        <v>5.4</v>
      </c>
      <c r="P101" s="5">
        <v>21.97</v>
      </c>
      <c r="Q101" s="5">
        <v>22.73</v>
      </c>
      <c r="R101" s="5">
        <v>21.02</v>
      </c>
      <c r="S101" s="5">
        <v>5.68</v>
      </c>
      <c r="T101" s="5">
        <v>0</v>
      </c>
      <c r="U101" s="5">
        <v>65.91</v>
      </c>
      <c r="V101" s="5">
        <v>0</v>
      </c>
      <c r="W101" s="5">
        <v>30.77</v>
      </c>
      <c r="X101" s="5">
        <v>20.51</v>
      </c>
      <c r="Y101" s="5">
        <v>8.7899999999999991</v>
      </c>
      <c r="Z101" s="5">
        <v>8.75</v>
      </c>
      <c r="AA101" s="5">
        <v>18.48</v>
      </c>
      <c r="AB101" s="5">
        <v>19.559999999999999</v>
      </c>
      <c r="AC101" s="5">
        <v>100</v>
      </c>
      <c r="AD101" s="5">
        <v>20.47</v>
      </c>
      <c r="AE101" s="5">
        <v>39.270000000000003</v>
      </c>
      <c r="AF101" s="5">
        <v>67.47</v>
      </c>
      <c r="AG101" s="5">
        <v>29.53</v>
      </c>
      <c r="AH101" s="5">
        <v>93.16</v>
      </c>
      <c r="AI101" s="5">
        <v>100</v>
      </c>
      <c r="AJ101" s="5">
        <v>87.5</v>
      </c>
      <c r="AK101" s="5">
        <v>90.89</v>
      </c>
      <c r="AL101" s="5">
        <v>59.15</v>
      </c>
      <c r="AM101" s="5">
        <v>65.180000000000007</v>
      </c>
      <c r="AN101" s="5">
        <v>79.599999999999994</v>
      </c>
      <c r="AO101" s="5">
        <v>39.79</v>
      </c>
      <c r="AP101" s="5">
        <v>1</v>
      </c>
      <c r="AQ101" t="str">
        <f>IF(COUNTIF([1]Country_Classifications!$B$2:$B$40, $A101)&gt;0, "Africa", "Others")</f>
        <v>Others</v>
      </c>
    </row>
    <row r="102" spans="1:43" ht="15.75" hidden="1" customHeight="1" x14ac:dyDescent="0.35">
      <c r="A102" s="3" t="s">
        <v>51</v>
      </c>
      <c r="B102" s="4" t="s">
        <v>52</v>
      </c>
      <c r="C102" s="5">
        <v>60.36</v>
      </c>
      <c r="D102" s="5">
        <v>60.36</v>
      </c>
      <c r="E102" s="5">
        <v>63.41</v>
      </c>
      <c r="F102" s="5">
        <v>80.3</v>
      </c>
      <c r="G102" s="5">
        <v>66.02</v>
      </c>
      <c r="H102" s="5">
        <v>64.77</v>
      </c>
      <c r="I102" s="5">
        <v>73.86</v>
      </c>
      <c r="J102" s="5">
        <v>64.77</v>
      </c>
      <c r="K102" s="5">
        <v>0</v>
      </c>
      <c r="L102" s="5">
        <v>64.09</v>
      </c>
      <c r="M102" s="5">
        <v>67.39</v>
      </c>
      <c r="N102" s="5">
        <v>69.430000000000007</v>
      </c>
      <c r="O102" s="5">
        <v>74.55</v>
      </c>
      <c r="P102" s="5">
        <v>73.86</v>
      </c>
      <c r="Q102" s="5">
        <v>64.09</v>
      </c>
      <c r="R102" s="5">
        <v>70.45</v>
      </c>
      <c r="S102" s="5">
        <v>38.24</v>
      </c>
      <c r="T102" s="5">
        <v>0</v>
      </c>
      <c r="U102" s="5">
        <v>56.25</v>
      </c>
      <c r="V102" s="5">
        <v>0</v>
      </c>
      <c r="W102" s="5">
        <v>15.38</v>
      </c>
      <c r="X102" s="5">
        <v>20.51</v>
      </c>
      <c r="Y102" s="5">
        <v>35.159999999999997</v>
      </c>
      <c r="Z102" s="5">
        <v>85</v>
      </c>
      <c r="AA102" s="5">
        <v>79.11</v>
      </c>
      <c r="AB102" s="5">
        <v>76.989999999999995</v>
      </c>
      <c r="AC102" s="5">
        <v>97.56</v>
      </c>
      <c r="AD102" s="5">
        <v>31.15</v>
      </c>
      <c r="AE102" s="5">
        <v>66.97</v>
      </c>
      <c r="AF102" s="5">
        <v>92.53</v>
      </c>
      <c r="AG102" s="5">
        <v>52.14</v>
      </c>
      <c r="AH102" s="5">
        <v>93.21</v>
      </c>
      <c r="AI102" s="5">
        <v>100</v>
      </c>
      <c r="AJ102" s="5">
        <v>93.75</v>
      </c>
      <c r="AK102" s="5">
        <v>92.8</v>
      </c>
      <c r="AL102" s="5">
        <v>79.16</v>
      </c>
      <c r="AM102" s="5">
        <v>86.09</v>
      </c>
      <c r="AN102" s="5">
        <v>80.84</v>
      </c>
      <c r="AO102" s="5">
        <v>61.91</v>
      </c>
      <c r="AP102" s="5">
        <v>1</v>
      </c>
      <c r="AQ102" t="str">
        <f>IF(COUNTIF([1]Country_Classifications!$B$2:$B$40, $A102)&gt;0, "Africa", "Others")</f>
        <v>Others</v>
      </c>
    </row>
    <row r="103" spans="1:43" ht="15.75" hidden="1" customHeight="1" x14ac:dyDescent="0.35">
      <c r="A103" s="3" t="s">
        <v>53</v>
      </c>
      <c r="B103" s="4" t="s">
        <v>54</v>
      </c>
      <c r="C103" s="5">
        <v>60</v>
      </c>
      <c r="D103" s="5">
        <v>62.5</v>
      </c>
      <c r="E103" s="5">
        <v>63.41</v>
      </c>
      <c r="F103" s="5">
        <v>80.3</v>
      </c>
      <c r="G103" s="5">
        <v>75</v>
      </c>
      <c r="H103" s="5">
        <v>73.86</v>
      </c>
      <c r="I103" s="5">
        <v>64.77</v>
      </c>
      <c r="J103" s="5">
        <v>73.86</v>
      </c>
      <c r="K103" s="5">
        <v>0</v>
      </c>
      <c r="L103" s="5">
        <v>64.09</v>
      </c>
      <c r="M103" s="5">
        <v>70.45</v>
      </c>
      <c r="N103" s="5">
        <v>76.14</v>
      </c>
      <c r="O103" s="5">
        <v>74.55</v>
      </c>
      <c r="P103" s="5">
        <v>73.86</v>
      </c>
      <c r="Q103" s="5">
        <v>64.09</v>
      </c>
      <c r="R103" s="5">
        <v>79.55</v>
      </c>
      <c r="S103" s="5">
        <v>53.79</v>
      </c>
      <c r="T103" s="5">
        <v>0</v>
      </c>
      <c r="U103" s="5">
        <v>0</v>
      </c>
      <c r="V103" s="5">
        <v>38.46</v>
      </c>
      <c r="W103" s="5">
        <v>53.85</v>
      </c>
      <c r="X103" s="5">
        <v>20.51</v>
      </c>
      <c r="Y103" s="5">
        <v>4.4000000000000004</v>
      </c>
      <c r="Z103" s="5">
        <v>40</v>
      </c>
      <c r="AA103" s="5">
        <v>72.22</v>
      </c>
      <c r="AB103" s="5">
        <v>76.540000000000006</v>
      </c>
      <c r="AC103" s="5">
        <v>97.78</v>
      </c>
      <c r="AD103" s="5">
        <v>85.19</v>
      </c>
      <c r="AE103" s="5">
        <v>78.89</v>
      </c>
      <c r="AF103" s="5">
        <v>94.13</v>
      </c>
      <c r="AG103" s="5">
        <v>56.33</v>
      </c>
      <c r="AH103" s="5">
        <v>99.85</v>
      </c>
      <c r="AI103" s="5">
        <v>100</v>
      </c>
      <c r="AJ103" s="5">
        <v>100</v>
      </c>
      <c r="AK103" s="5">
        <v>97.46</v>
      </c>
      <c r="AL103" s="5">
        <v>94.89</v>
      </c>
      <c r="AM103" s="5">
        <v>84.66</v>
      </c>
      <c r="AN103" s="5">
        <v>97.03</v>
      </c>
      <c r="AO103" s="5">
        <v>49.34</v>
      </c>
      <c r="AP103" s="5">
        <v>0.96</v>
      </c>
      <c r="AQ103" t="str">
        <f>IF(COUNTIF([1]Country_Classifications!$B$2:$B$40, $A103)&gt;0, "Africa", "Others")</f>
        <v>Others</v>
      </c>
    </row>
    <row r="104" spans="1:43" ht="15.75" hidden="1" customHeight="1" x14ac:dyDescent="0.35">
      <c r="A104" s="3" t="s">
        <v>192</v>
      </c>
      <c r="B104" s="4" t="s">
        <v>193</v>
      </c>
      <c r="C104" s="5">
        <v>26.14</v>
      </c>
      <c r="D104" s="5">
        <v>26.14</v>
      </c>
      <c r="E104" s="5">
        <v>0</v>
      </c>
      <c r="F104" s="5">
        <v>0</v>
      </c>
      <c r="G104" s="5">
        <v>9.09</v>
      </c>
      <c r="H104" s="5">
        <v>21.21</v>
      </c>
      <c r="I104" s="5">
        <v>22.73</v>
      </c>
      <c r="J104" s="5">
        <v>21.97</v>
      </c>
      <c r="K104" s="5">
        <v>0</v>
      </c>
      <c r="L104" s="5">
        <v>9.85</v>
      </c>
      <c r="M104" s="5">
        <v>9.09</v>
      </c>
      <c r="N104" s="5">
        <v>0</v>
      </c>
      <c r="O104" s="5">
        <v>10.8</v>
      </c>
      <c r="P104" s="5">
        <v>11.36</v>
      </c>
      <c r="Q104" s="5">
        <v>12.12</v>
      </c>
      <c r="R104" s="5">
        <v>16.48</v>
      </c>
      <c r="S104" s="5">
        <v>9.09</v>
      </c>
      <c r="T104" s="5">
        <v>0</v>
      </c>
      <c r="U104" s="5">
        <v>0</v>
      </c>
      <c r="V104" s="5">
        <v>7.69</v>
      </c>
      <c r="W104" s="5">
        <v>46.15</v>
      </c>
      <c r="X104" s="5">
        <v>20.51</v>
      </c>
      <c r="Y104" s="5">
        <v>17.579999999999998</v>
      </c>
      <c r="Z104" s="5">
        <v>0</v>
      </c>
      <c r="AA104" s="5">
        <v>27.17</v>
      </c>
      <c r="AB104" s="5">
        <v>67.8</v>
      </c>
      <c r="AC104" s="5">
        <v>100</v>
      </c>
      <c r="AD104" s="5">
        <v>100</v>
      </c>
      <c r="AE104" s="5">
        <v>39.03</v>
      </c>
      <c r="AF104" s="5">
        <v>66.400000000000006</v>
      </c>
      <c r="AG104" s="5">
        <v>29.35</v>
      </c>
      <c r="AH104" s="5">
        <v>73.680000000000007</v>
      </c>
      <c r="AI104" s="5">
        <v>58.4</v>
      </c>
      <c r="AJ104" s="5">
        <v>87.5</v>
      </c>
      <c r="AK104" s="5">
        <v>81.99</v>
      </c>
      <c r="AL104" s="5">
        <v>66.84</v>
      </c>
      <c r="AM104" s="5">
        <v>67.19</v>
      </c>
      <c r="AN104" s="5">
        <v>84.96</v>
      </c>
      <c r="AO104" s="5">
        <v>45.56</v>
      </c>
      <c r="AP104" s="5">
        <v>1</v>
      </c>
      <c r="AQ104" t="str">
        <f>IF(COUNTIF([1]Country_Classifications!$B$2:$B$40, $A104)&gt;0, "Africa", "Others")</f>
        <v>Others</v>
      </c>
    </row>
    <row r="105" spans="1:43" ht="15.75" hidden="1" customHeight="1" x14ac:dyDescent="0.35">
      <c r="A105" s="3" t="s">
        <v>218</v>
      </c>
      <c r="B105" s="4" t="s">
        <v>219</v>
      </c>
      <c r="C105" s="5">
        <v>20.52</v>
      </c>
      <c r="D105" s="5">
        <v>20.52</v>
      </c>
      <c r="E105" s="5">
        <v>0</v>
      </c>
      <c r="F105" s="5">
        <v>9.09</v>
      </c>
      <c r="G105" s="5">
        <v>57.95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56.82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57.95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2.5</v>
      </c>
      <c r="AA105" s="5">
        <v>20.77</v>
      </c>
      <c r="AB105" s="5">
        <v>40.4</v>
      </c>
      <c r="AC105" s="5">
        <v>91.88</v>
      </c>
      <c r="AD105" s="5">
        <v>39.39</v>
      </c>
      <c r="AE105" s="5">
        <v>29.27</v>
      </c>
      <c r="AF105" s="5">
        <v>74.67</v>
      </c>
      <c r="AG105" s="5">
        <v>30.18</v>
      </c>
      <c r="AH105" s="5">
        <v>34.53</v>
      </c>
      <c r="AI105" s="5">
        <v>61.2</v>
      </c>
      <c r="AJ105" s="5">
        <v>0</v>
      </c>
      <c r="AK105" s="5">
        <v>63.28</v>
      </c>
      <c r="AL105" s="5">
        <v>28.66</v>
      </c>
      <c r="AM105" s="5">
        <v>38.880000000000003</v>
      </c>
      <c r="AN105" s="5">
        <v>63.95</v>
      </c>
      <c r="AO105" s="5">
        <v>30.97</v>
      </c>
      <c r="AP105" s="5">
        <v>1</v>
      </c>
      <c r="AQ105" t="str">
        <f>IF(COUNTIF([1]Country_Classifications!$B$2:$B$40, $A105)&gt;0, "Africa", "Others")</f>
        <v>Others</v>
      </c>
    </row>
    <row r="106" spans="1:43" ht="15.75" hidden="1" customHeight="1" x14ac:dyDescent="0.35">
      <c r="A106" s="3" t="s">
        <v>126</v>
      </c>
      <c r="B106" s="4" t="s">
        <v>127</v>
      </c>
      <c r="C106" s="5">
        <v>38.880000000000003</v>
      </c>
      <c r="D106" s="5">
        <v>38.880000000000003</v>
      </c>
      <c r="E106" s="5">
        <v>38.64</v>
      </c>
      <c r="F106" s="5">
        <v>0</v>
      </c>
      <c r="G106" s="5">
        <v>40.909999999999997</v>
      </c>
      <c r="H106" s="5">
        <v>50</v>
      </c>
      <c r="I106" s="5">
        <v>55.3</v>
      </c>
      <c r="J106" s="5">
        <v>39.39</v>
      </c>
      <c r="K106" s="5">
        <v>39.39</v>
      </c>
      <c r="L106" s="5">
        <v>0</v>
      </c>
      <c r="M106" s="5">
        <v>66.67</v>
      </c>
      <c r="N106" s="5">
        <v>60.61</v>
      </c>
      <c r="O106" s="5">
        <v>40.340000000000003</v>
      </c>
      <c r="P106" s="5">
        <v>37.880000000000003</v>
      </c>
      <c r="Q106" s="5">
        <v>47.73</v>
      </c>
      <c r="R106" s="5">
        <v>47.16</v>
      </c>
      <c r="S106" s="5">
        <v>69.319999999999993</v>
      </c>
      <c r="T106" s="5">
        <v>0</v>
      </c>
      <c r="U106" s="5">
        <v>0</v>
      </c>
      <c r="V106" s="5">
        <v>0</v>
      </c>
      <c r="W106" s="5">
        <v>23.08</v>
      </c>
      <c r="X106" s="5">
        <v>0</v>
      </c>
      <c r="Y106" s="5">
        <v>0</v>
      </c>
      <c r="Z106" s="5">
        <v>0</v>
      </c>
      <c r="AA106" s="5">
        <v>10.27</v>
      </c>
      <c r="AB106" s="5">
        <v>83.71</v>
      </c>
      <c r="AC106" s="5">
        <v>100</v>
      </c>
      <c r="AD106" s="5">
        <v>4.0199999999999996</v>
      </c>
      <c r="AE106" s="5">
        <v>67.27</v>
      </c>
      <c r="AF106" s="5">
        <v>77.33</v>
      </c>
      <c r="AG106" s="5">
        <v>20.22</v>
      </c>
      <c r="AH106" s="5">
        <v>100</v>
      </c>
      <c r="AI106" s="5">
        <v>58.4</v>
      </c>
      <c r="AJ106" s="5">
        <v>87.5</v>
      </c>
      <c r="AK106" s="5">
        <v>80.510000000000005</v>
      </c>
      <c r="AL106" s="5">
        <v>84.68</v>
      </c>
      <c r="AM106" s="5">
        <v>19.98</v>
      </c>
      <c r="AN106" s="5">
        <v>89.26</v>
      </c>
      <c r="AO106" s="5">
        <v>29.73</v>
      </c>
      <c r="AP106" s="5">
        <v>1</v>
      </c>
      <c r="AQ106" t="str">
        <f>IF(COUNTIF([1]Country_Classifications!$B$2:$B$40, $A106)&gt;0, "Africa", "Others")</f>
        <v>Others</v>
      </c>
    </row>
    <row r="107" spans="1:43" ht="15.75" hidden="1" customHeight="1" x14ac:dyDescent="0.35">
      <c r="A107" s="3" t="s">
        <v>79</v>
      </c>
      <c r="B107" s="4" t="s">
        <v>80</v>
      </c>
      <c r="C107" s="5">
        <v>51.69</v>
      </c>
      <c r="D107" s="5">
        <v>51.69</v>
      </c>
      <c r="E107" s="5">
        <v>63.41</v>
      </c>
      <c r="F107" s="5">
        <v>71.209999999999994</v>
      </c>
      <c r="G107" s="5">
        <v>0</v>
      </c>
      <c r="H107" s="5">
        <v>64.77</v>
      </c>
      <c r="I107" s="5">
        <v>64.77</v>
      </c>
      <c r="J107" s="5">
        <v>64.77</v>
      </c>
      <c r="K107" s="5">
        <v>0</v>
      </c>
      <c r="L107" s="5">
        <v>64.09</v>
      </c>
      <c r="M107" s="5">
        <v>74.239999999999995</v>
      </c>
      <c r="N107" s="5">
        <v>32.950000000000003</v>
      </c>
      <c r="O107" s="5">
        <v>74.55</v>
      </c>
      <c r="P107" s="5">
        <v>64.77</v>
      </c>
      <c r="Q107" s="5">
        <v>64.09</v>
      </c>
      <c r="R107" s="5">
        <v>79.55</v>
      </c>
      <c r="S107" s="5">
        <v>65.150000000000006</v>
      </c>
      <c r="T107" s="5">
        <v>0</v>
      </c>
      <c r="U107" s="5">
        <v>0</v>
      </c>
      <c r="V107" s="5">
        <v>15.38</v>
      </c>
      <c r="W107" s="5">
        <v>15.38</v>
      </c>
      <c r="X107" s="5">
        <v>10.26</v>
      </c>
      <c r="Y107" s="5">
        <v>13.19</v>
      </c>
      <c r="Z107" s="5">
        <v>15</v>
      </c>
      <c r="AA107" s="5">
        <v>49.28</v>
      </c>
      <c r="AB107" s="5">
        <v>51.54</v>
      </c>
      <c r="AC107" s="5">
        <v>97.3</v>
      </c>
      <c r="AD107" s="5">
        <v>67.2</v>
      </c>
      <c r="AE107" s="5">
        <v>62.01</v>
      </c>
      <c r="AF107" s="5">
        <v>80.8</v>
      </c>
      <c r="AG107" s="5">
        <v>71.430000000000007</v>
      </c>
      <c r="AH107" s="5">
        <v>91.2</v>
      </c>
      <c r="AI107" s="5">
        <v>100</v>
      </c>
      <c r="AJ107" s="5">
        <v>37.5</v>
      </c>
      <c r="AK107" s="5">
        <v>97.03</v>
      </c>
      <c r="AL107" s="5">
        <v>78.790000000000006</v>
      </c>
      <c r="AM107" s="5">
        <v>71.14</v>
      </c>
      <c r="AN107" s="5">
        <v>68.86</v>
      </c>
      <c r="AO107" s="5">
        <v>54.34</v>
      </c>
      <c r="AP107" s="5">
        <v>1</v>
      </c>
      <c r="AQ107" t="str">
        <f>IF(COUNTIF([1]Country_Classifications!$B$2:$B$40, $A107)&gt;0, "Africa", "Others")</f>
        <v>Others</v>
      </c>
    </row>
    <row r="108" spans="1:43" ht="15.75" customHeight="1" x14ac:dyDescent="0.35">
      <c r="A108" s="3" t="s">
        <v>154</v>
      </c>
      <c r="B108" s="4" t="s">
        <v>155</v>
      </c>
      <c r="C108" s="5">
        <v>33.56</v>
      </c>
      <c r="D108" s="5">
        <v>33.56</v>
      </c>
      <c r="E108" s="5">
        <v>37.880000000000003</v>
      </c>
      <c r="F108" s="5">
        <v>0</v>
      </c>
      <c r="G108" s="5">
        <v>0</v>
      </c>
      <c r="H108" s="5">
        <v>40.909999999999997</v>
      </c>
      <c r="I108" s="5">
        <v>40.15</v>
      </c>
      <c r="J108" s="5">
        <v>38.64</v>
      </c>
      <c r="K108" s="5">
        <v>0</v>
      </c>
      <c r="L108" s="5">
        <v>0</v>
      </c>
      <c r="M108" s="5">
        <v>65.53</v>
      </c>
      <c r="N108" s="5">
        <v>76.14</v>
      </c>
      <c r="O108" s="5">
        <v>38.07</v>
      </c>
      <c r="P108" s="5">
        <v>0</v>
      </c>
      <c r="Q108" s="5">
        <v>0</v>
      </c>
      <c r="R108" s="5">
        <v>0</v>
      </c>
      <c r="S108" s="5">
        <v>65.53</v>
      </c>
      <c r="T108" s="5">
        <v>0</v>
      </c>
      <c r="U108" s="5">
        <v>63.64</v>
      </c>
      <c r="V108" s="5">
        <v>0</v>
      </c>
      <c r="W108" s="5">
        <v>0</v>
      </c>
      <c r="X108" s="5">
        <v>0</v>
      </c>
      <c r="Y108" s="5">
        <v>0</v>
      </c>
      <c r="Z108" s="5">
        <v>30</v>
      </c>
      <c r="AA108" s="5">
        <v>18.239999999999998</v>
      </c>
      <c r="AB108" s="5">
        <v>31.16</v>
      </c>
      <c r="AC108" s="5">
        <v>1.57</v>
      </c>
      <c r="AD108" s="5">
        <v>49.56</v>
      </c>
      <c r="AE108" s="5">
        <v>55.49</v>
      </c>
      <c r="AF108" s="5">
        <v>49.87</v>
      </c>
      <c r="AG108" s="5">
        <v>60.43</v>
      </c>
      <c r="AH108" s="5">
        <v>97.98</v>
      </c>
      <c r="AI108" s="5">
        <v>83.4</v>
      </c>
      <c r="AJ108" s="5">
        <v>87.5</v>
      </c>
      <c r="AK108" s="5">
        <v>84.32</v>
      </c>
      <c r="AL108" s="5">
        <v>64.31</v>
      </c>
      <c r="AM108" s="5">
        <v>29.11</v>
      </c>
      <c r="AN108" s="5">
        <v>86.88</v>
      </c>
      <c r="AO108" s="5">
        <v>53.27</v>
      </c>
      <c r="AP108" s="5">
        <v>1</v>
      </c>
      <c r="AQ108" t="str">
        <f>IF(COUNTIF([1]Country_Classifications!$B$2:$B$40, $A108)&gt;0, "Africa", "Others")</f>
        <v>Africa</v>
      </c>
    </row>
    <row r="109" spans="1:43" ht="15.75" hidden="1" customHeight="1" x14ac:dyDescent="0.35">
      <c r="A109" s="3" t="s">
        <v>156</v>
      </c>
      <c r="B109" s="4" t="s">
        <v>157</v>
      </c>
      <c r="C109" s="5">
        <v>33.36</v>
      </c>
      <c r="D109" s="5">
        <v>34.75</v>
      </c>
      <c r="E109" s="5">
        <v>18.18</v>
      </c>
      <c r="F109" s="5">
        <v>0</v>
      </c>
      <c r="G109" s="5">
        <v>9.09</v>
      </c>
      <c r="H109" s="5">
        <v>50</v>
      </c>
      <c r="I109" s="5">
        <v>59.09</v>
      </c>
      <c r="J109" s="5">
        <v>40.909999999999997</v>
      </c>
      <c r="K109" s="5">
        <v>46.21</v>
      </c>
      <c r="L109" s="5">
        <v>0</v>
      </c>
      <c r="M109" s="5">
        <v>73.86</v>
      </c>
      <c r="N109" s="5">
        <v>45.45</v>
      </c>
      <c r="O109" s="5">
        <v>40.909999999999997</v>
      </c>
      <c r="P109" s="5">
        <v>40.15</v>
      </c>
      <c r="Q109" s="5">
        <v>34.090000000000003</v>
      </c>
      <c r="R109" s="5">
        <v>43.18</v>
      </c>
      <c r="S109" s="5">
        <v>34.85</v>
      </c>
      <c r="T109" s="5">
        <v>0</v>
      </c>
      <c r="U109" s="5">
        <v>0</v>
      </c>
      <c r="V109" s="5">
        <v>0</v>
      </c>
      <c r="W109" s="5">
        <v>7.69</v>
      </c>
      <c r="X109" s="5">
        <v>0</v>
      </c>
      <c r="Y109" s="5">
        <v>0</v>
      </c>
      <c r="Z109" s="5">
        <v>0</v>
      </c>
      <c r="AA109" s="5">
        <v>11.71</v>
      </c>
      <c r="AB109" s="5">
        <v>56.15</v>
      </c>
      <c r="AC109" s="5">
        <v>97.94</v>
      </c>
      <c r="AD109" s="5">
        <v>2.16</v>
      </c>
      <c r="AE109" s="5">
        <v>58.14</v>
      </c>
      <c r="AF109" s="5">
        <v>90.13</v>
      </c>
      <c r="AG109" s="5">
        <v>27.23</v>
      </c>
      <c r="AH109" s="5">
        <v>100</v>
      </c>
      <c r="AI109" s="5">
        <v>66.8</v>
      </c>
      <c r="AJ109" s="5">
        <v>87.5</v>
      </c>
      <c r="AK109" s="5">
        <v>98.31</v>
      </c>
      <c r="AL109" s="5">
        <v>64.349999999999994</v>
      </c>
      <c r="AM109" s="5">
        <v>21.8</v>
      </c>
      <c r="AN109" s="5">
        <v>99.9</v>
      </c>
      <c r="AO109" s="5">
        <v>30.97</v>
      </c>
      <c r="AP109" s="5">
        <v>0.96</v>
      </c>
      <c r="AQ109" t="str">
        <f>IF(COUNTIF([1]Country_Classifications!$B$2:$B$40, $A109)&gt;0, "Africa", "Others")</f>
        <v>Others</v>
      </c>
    </row>
    <row r="110" spans="1:43" ht="15.75" customHeight="1" x14ac:dyDescent="0.35">
      <c r="A110" s="3" t="s">
        <v>170</v>
      </c>
      <c r="B110" s="4" t="s">
        <v>171</v>
      </c>
      <c r="C110" s="5">
        <v>31.22</v>
      </c>
      <c r="D110" s="5">
        <v>31.22</v>
      </c>
      <c r="E110" s="5">
        <v>0</v>
      </c>
      <c r="F110" s="5">
        <v>0</v>
      </c>
      <c r="G110" s="5">
        <v>9.09</v>
      </c>
      <c r="H110" s="5">
        <v>0</v>
      </c>
      <c r="I110" s="5">
        <v>63.64</v>
      </c>
      <c r="J110" s="5">
        <v>0</v>
      </c>
      <c r="K110" s="5">
        <v>0</v>
      </c>
      <c r="L110" s="5">
        <v>0</v>
      </c>
      <c r="M110" s="5">
        <v>74.239999999999995</v>
      </c>
      <c r="N110" s="5">
        <v>74.239999999999995</v>
      </c>
      <c r="O110" s="5">
        <v>0</v>
      </c>
      <c r="P110" s="5">
        <v>0</v>
      </c>
      <c r="Q110" s="5">
        <v>65.91</v>
      </c>
      <c r="R110" s="5">
        <v>0</v>
      </c>
      <c r="S110" s="5">
        <v>74.239999999999995</v>
      </c>
      <c r="T110" s="5">
        <v>0</v>
      </c>
      <c r="U110" s="5">
        <v>63.64</v>
      </c>
      <c r="V110" s="5">
        <v>0</v>
      </c>
      <c r="W110" s="5">
        <v>0</v>
      </c>
      <c r="X110" s="5">
        <v>0</v>
      </c>
      <c r="Y110" s="5">
        <v>0</v>
      </c>
      <c r="Z110" s="5">
        <v>30</v>
      </c>
      <c r="AA110" s="5">
        <v>53.62</v>
      </c>
      <c r="AB110" s="5">
        <v>27.26</v>
      </c>
      <c r="AC110" s="5">
        <v>59.42</v>
      </c>
      <c r="AD110" s="5">
        <v>19.79</v>
      </c>
      <c r="AE110" s="5">
        <v>48.15</v>
      </c>
      <c r="AF110" s="5">
        <v>31.2</v>
      </c>
      <c r="AG110" s="5">
        <v>59.35</v>
      </c>
      <c r="AH110" s="5">
        <v>65.709999999999994</v>
      </c>
      <c r="AI110" s="5">
        <v>100</v>
      </c>
      <c r="AJ110" s="5">
        <v>37.5</v>
      </c>
      <c r="AK110" s="5">
        <v>80.72</v>
      </c>
      <c r="AL110" s="5">
        <v>68.91</v>
      </c>
      <c r="AM110" s="5">
        <v>77.84</v>
      </c>
      <c r="AN110" s="5">
        <v>46.55</v>
      </c>
      <c r="AO110" s="5">
        <v>31.82</v>
      </c>
      <c r="AP110" s="5">
        <v>1</v>
      </c>
      <c r="AQ110" t="str">
        <f>IF(COUNTIF([1]Country_Classifications!$B$2:$B$40, $A110)&gt;0, "Africa", "Others")</f>
        <v>Africa</v>
      </c>
    </row>
    <row r="111" spans="1:43" ht="15.75" hidden="1" customHeight="1" x14ac:dyDescent="0.35">
      <c r="A111" s="3" t="s">
        <v>101</v>
      </c>
      <c r="B111" s="4" t="s">
        <v>102</v>
      </c>
      <c r="C111" s="5">
        <v>45.21</v>
      </c>
      <c r="D111" s="5">
        <v>45.21</v>
      </c>
      <c r="E111" s="5">
        <v>45.45</v>
      </c>
      <c r="F111" s="5">
        <v>48.48</v>
      </c>
      <c r="G111" s="5">
        <v>76.14</v>
      </c>
      <c r="H111" s="5">
        <v>48.48</v>
      </c>
      <c r="I111" s="5">
        <v>39.39</v>
      </c>
      <c r="J111" s="5">
        <v>39.39</v>
      </c>
      <c r="K111" s="5">
        <v>70.45</v>
      </c>
      <c r="L111" s="5">
        <v>31.06</v>
      </c>
      <c r="M111" s="5">
        <v>36.36</v>
      </c>
      <c r="N111" s="5">
        <v>0</v>
      </c>
      <c r="O111" s="5">
        <v>50</v>
      </c>
      <c r="P111" s="5">
        <v>0</v>
      </c>
      <c r="Q111" s="5">
        <v>54.55</v>
      </c>
      <c r="R111" s="5">
        <v>64.2</v>
      </c>
      <c r="S111" s="5">
        <v>39.020000000000003</v>
      </c>
      <c r="T111" s="5">
        <v>0</v>
      </c>
      <c r="U111" s="5">
        <v>0</v>
      </c>
      <c r="V111" s="5">
        <v>7.69</v>
      </c>
      <c r="W111" s="5">
        <v>0</v>
      </c>
      <c r="X111" s="5">
        <v>0</v>
      </c>
      <c r="Y111" s="5">
        <v>8.7899999999999991</v>
      </c>
      <c r="Z111" s="5">
        <v>0</v>
      </c>
      <c r="AA111" s="5">
        <v>42.75</v>
      </c>
      <c r="AB111" s="5">
        <v>100</v>
      </c>
      <c r="AC111" s="5">
        <v>100</v>
      </c>
      <c r="AD111" s="5">
        <v>4.93</v>
      </c>
      <c r="AE111" s="5">
        <v>87.53</v>
      </c>
      <c r="AF111" s="5">
        <v>98.13</v>
      </c>
      <c r="AG111" s="5">
        <v>73.47</v>
      </c>
      <c r="AH111" s="5">
        <v>99.85</v>
      </c>
      <c r="AI111" s="5">
        <v>91.8</v>
      </c>
      <c r="AJ111" s="5">
        <v>100</v>
      </c>
      <c r="AK111" s="5">
        <v>95.97</v>
      </c>
      <c r="AL111" s="5">
        <v>95.54</v>
      </c>
      <c r="AM111" s="5">
        <v>49.06</v>
      </c>
      <c r="AN111" s="5">
        <v>98.99</v>
      </c>
      <c r="AO111" s="5">
        <v>64.42</v>
      </c>
      <c r="AP111" s="5">
        <v>1</v>
      </c>
      <c r="AQ111" t="str">
        <f>IF(COUNTIF([1]Country_Classifications!$B$2:$B$40, $A111)&gt;0, "Africa", "Others")</f>
        <v>Others</v>
      </c>
    </row>
    <row r="112" spans="1:43" ht="15.75" customHeight="1" x14ac:dyDescent="0.35">
      <c r="A112" s="3" t="s">
        <v>250</v>
      </c>
      <c r="B112" s="4" t="s">
        <v>251</v>
      </c>
      <c r="C112" s="5">
        <v>14.91</v>
      </c>
      <c r="D112" s="5">
        <v>14.91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9.09</v>
      </c>
      <c r="O112" s="5">
        <v>0</v>
      </c>
      <c r="P112" s="5">
        <v>0</v>
      </c>
      <c r="Q112" s="5">
        <v>0</v>
      </c>
      <c r="R112" s="5">
        <v>0</v>
      </c>
      <c r="S112" s="5">
        <v>9.09</v>
      </c>
      <c r="T112" s="5">
        <v>0</v>
      </c>
      <c r="U112" s="5">
        <v>0</v>
      </c>
      <c r="V112" s="5">
        <v>30.77</v>
      </c>
      <c r="W112" s="5">
        <v>0</v>
      </c>
      <c r="X112" s="5">
        <v>20.51</v>
      </c>
      <c r="Y112" s="5">
        <v>0</v>
      </c>
      <c r="Z112" s="5">
        <v>0</v>
      </c>
      <c r="AA112" s="5">
        <v>38.65</v>
      </c>
      <c r="AB112" s="5">
        <v>25.16</v>
      </c>
      <c r="AC112" s="5">
        <v>40.74</v>
      </c>
      <c r="AD112" s="5">
        <v>95.24</v>
      </c>
      <c r="AE112" s="5">
        <v>32.9</v>
      </c>
      <c r="AF112" s="5">
        <v>18.93</v>
      </c>
      <c r="AG112" s="5">
        <v>23.91</v>
      </c>
      <c r="AH112" s="5">
        <v>54.46</v>
      </c>
      <c r="AI112" s="5">
        <v>41.8</v>
      </c>
      <c r="AJ112" s="5">
        <v>12.5</v>
      </c>
      <c r="AK112" s="5">
        <v>66.739999999999995</v>
      </c>
      <c r="AL112" s="5">
        <v>71.16</v>
      </c>
      <c r="AM112" s="5">
        <v>80.790000000000006</v>
      </c>
      <c r="AN112" s="5">
        <v>60.25</v>
      </c>
      <c r="AO112" s="5">
        <v>8.01</v>
      </c>
      <c r="AP112" s="5">
        <v>1</v>
      </c>
      <c r="AQ112" t="str">
        <f>IF(COUNTIF([1]Country_Classifications!$B$2:$B$40, $A112)&gt;0, "Africa", "Others")</f>
        <v>Africa</v>
      </c>
    </row>
    <row r="113" spans="1:43" ht="15.75" hidden="1" customHeight="1" x14ac:dyDescent="0.35">
      <c r="A113" s="3" t="s">
        <v>144</v>
      </c>
      <c r="B113" s="4" t="s">
        <v>145</v>
      </c>
      <c r="C113" s="5">
        <v>36.659999999999997</v>
      </c>
      <c r="D113" s="5">
        <v>36.659999999999997</v>
      </c>
      <c r="E113" s="5">
        <v>72.73</v>
      </c>
      <c r="F113" s="5">
        <v>0</v>
      </c>
      <c r="G113" s="5">
        <v>0</v>
      </c>
      <c r="H113" s="5">
        <v>63.64</v>
      </c>
      <c r="I113" s="5">
        <v>65.150000000000006</v>
      </c>
      <c r="J113" s="5">
        <v>61.36</v>
      </c>
      <c r="K113" s="5">
        <v>66.67</v>
      </c>
      <c r="L113" s="5">
        <v>0</v>
      </c>
      <c r="M113" s="5">
        <v>9.09</v>
      </c>
      <c r="N113" s="5">
        <v>73.48</v>
      </c>
      <c r="O113" s="5">
        <v>65.34</v>
      </c>
      <c r="P113" s="5">
        <v>0</v>
      </c>
      <c r="Q113" s="5">
        <v>65.150000000000006</v>
      </c>
      <c r="R113" s="5">
        <v>0</v>
      </c>
      <c r="S113" s="5">
        <v>56.82</v>
      </c>
      <c r="T113" s="5">
        <v>0</v>
      </c>
      <c r="U113" s="5">
        <v>0</v>
      </c>
      <c r="V113" s="5">
        <v>0</v>
      </c>
      <c r="W113" s="5">
        <v>23.08</v>
      </c>
      <c r="X113" s="5">
        <v>0</v>
      </c>
      <c r="Y113" s="5">
        <v>0</v>
      </c>
      <c r="Z113" s="5">
        <v>0</v>
      </c>
      <c r="AA113" s="5">
        <v>13.16</v>
      </c>
      <c r="AB113" s="5">
        <v>50.2</v>
      </c>
      <c r="AC113" s="5">
        <v>82.93</v>
      </c>
      <c r="AD113" s="5">
        <v>90.81</v>
      </c>
      <c r="AE113" s="5">
        <v>35.909999999999997</v>
      </c>
      <c r="AF113" s="5">
        <v>58.93</v>
      </c>
      <c r="AG113" s="5">
        <v>34.5</v>
      </c>
      <c r="AH113" s="5">
        <v>34.159999999999997</v>
      </c>
      <c r="AI113" s="5">
        <v>33.4</v>
      </c>
      <c r="AJ113" s="5">
        <v>87.5</v>
      </c>
      <c r="AK113" s="5">
        <v>62.29</v>
      </c>
      <c r="AL113" s="5">
        <v>59.71</v>
      </c>
      <c r="AM113" s="5">
        <v>42.77</v>
      </c>
      <c r="AN113" s="5">
        <v>87.52</v>
      </c>
      <c r="AO113" s="5">
        <v>31.88</v>
      </c>
      <c r="AP113" s="5">
        <v>1</v>
      </c>
      <c r="AQ113" t="str">
        <f>IF(COUNTIF([1]Country_Classifications!$B$2:$B$40, $A113)&gt;0, "Africa", "Others")</f>
        <v>Others</v>
      </c>
    </row>
    <row r="114" spans="1:43" ht="15.75" customHeight="1" x14ac:dyDescent="0.35">
      <c r="A114" s="3" t="s">
        <v>270</v>
      </c>
      <c r="B114" s="4" t="s">
        <v>271</v>
      </c>
      <c r="C114" s="5">
        <v>12.05</v>
      </c>
      <c r="D114" s="5">
        <v>12.05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57.27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67.05</v>
      </c>
      <c r="Q114" s="5">
        <v>67.73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10.02</v>
      </c>
      <c r="AB114" s="5">
        <v>9.09</v>
      </c>
      <c r="AC114" s="5">
        <v>44.48</v>
      </c>
      <c r="AD114" s="5">
        <v>20.93</v>
      </c>
      <c r="AE114" s="5">
        <v>0</v>
      </c>
      <c r="AF114" s="5">
        <v>9.07</v>
      </c>
      <c r="AG114" s="5">
        <v>26.52</v>
      </c>
      <c r="AH114" s="5">
        <v>34.26</v>
      </c>
      <c r="AI114" s="5">
        <v>10</v>
      </c>
      <c r="AJ114" s="5">
        <v>37.5</v>
      </c>
      <c r="AK114" s="5">
        <v>42.58</v>
      </c>
      <c r="AL114" s="5">
        <v>20.75</v>
      </c>
      <c r="AM114" s="5">
        <v>56.35</v>
      </c>
      <c r="AN114" s="5">
        <v>0.3</v>
      </c>
      <c r="AO114" s="5">
        <v>22.12</v>
      </c>
      <c r="AP114" s="5">
        <v>1</v>
      </c>
      <c r="AQ114" t="str">
        <f>IF(COUNTIF([1]Country_Classifications!$B$2:$B$40, $A114)&gt;0, "Africa", "Others")</f>
        <v>Africa</v>
      </c>
    </row>
    <row r="115" spans="1:43" ht="15.75" hidden="1" customHeight="1" x14ac:dyDescent="0.35">
      <c r="A115" s="3" t="s">
        <v>85</v>
      </c>
      <c r="B115" s="4" t="s">
        <v>86</v>
      </c>
      <c r="C115" s="5">
        <v>50.17</v>
      </c>
      <c r="D115" s="5">
        <v>50.17</v>
      </c>
      <c r="E115" s="5">
        <v>65.91</v>
      </c>
      <c r="F115" s="5">
        <v>37.880000000000003</v>
      </c>
      <c r="G115" s="5">
        <v>75</v>
      </c>
      <c r="H115" s="5">
        <v>49.24</v>
      </c>
      <c r="I115" s="5">
        <v>48.48</v>
      </c>
      <c r="J115" s="5">
        <v>66.67</v>
      </c>
      <c r="K115" s="5">
        <v>64.39</v>
      </c>
      <c r="L115" s="5">
        <v>36.36</v>
      </c>
      <c r="M115" s="5">
        <v>65.91</v>
      </c>
      <c r="N115" s="5">
        <v>77.27</v>
      </c>
      <c r="O115" s="5">
        <v>47.73</v>
      </c>
      <c r="P115" s="5">
        <v>0</v>
      </c>
      <c r="Q115" s="5">
        <v>64.39</v>
      </c>
      <c r="R115" s="5">
        <v>0</v>
      </c>
      <c r="S115" s="5">
        <v>76.52</v>
      </c>
      <c r="T115" s="5">
        <v>0</v>
      </c>
      <c r="U115" s="5">
        <v>63.64</v>
      </c>
      <c r="V115" s="5">
        <v>0</v>
      </c>
      <c r="W115" s="5">
        <v>7.69</v>
      </c>
      <c r="X115" s="5">
        <v>10.26</v>
      </c>
      <c r="Y115" s="5">
        <v>8.7899999999999991</v>
      </c>
      <c r="Z115" s="5">
        <v>30</v>
      </c>
      <c r="AA115" s="5">
        <v>31.4</v>
      </c>
      <c r="AB115" s="5">
        <v>59.87</v>
      </c>
      <c r="AC115" s="5">
        <v>94.94</v>
      </c>
      <c r="AD115" s="5">
        <v>32.06</v>
      </c>
      <c r="AE115" s="5">
        <v>48.27</v>
      </c>
      <c r="AF115" s="5">
        <v>82.4</v>
      </c>
      <c r="AG115" s="5">
        <v>56.45</v>
      </c>
      <c r="AH115" s="5">
        <v>96.66</v>
      </c>
      <c r="AI115" s="5">
        <v>50.2</v>
      </c>
      <c r="AJ115" s="5">
        <v>87.5</v>
      </c>
      <c r="AK115" s="5">
        <v>94.07</v>
      </c>
      <c r="AL115" s="5">
        <v>69.92</v>
      </c>
      <c r="AM115" s="5">
        <v>51.32</v>
      </c>
      <c r="AN115" s="5">
        <v>96.02</v>
      </c>
      <c r="AO115" s="5">
        <v>42.32</v>
      </c>
      <c r="AP115" s="5">
        <v>1</v>
      </c>
      <c r="AQ115" t="str">
        <f>IF(COUNTIF([1]Country_Classifications!$B$2:$B$40, $A115)&gt;0, "Africa", "Others")</f>
        <v>Others</v>
      </c>
    </row>
    <row r="116" spans="1:43" ht="15.75" customHeight="1" x14ac:dyDescent="0.35">
      <c r="A116" s="3" t="s">
        <v>292</v>
      </c>
      <c r="B116" s="4" t="s">
        <v>293</v>
      </c>
      <c r="C116" s="5">
        <v>4.04</v>
      </c>
      <c r="D116" s="5">
        <v>4.04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10.26</v>
      </c>
      <c r="Y116" s="5">
        <v>0</v>
      </c>
      <c r="Z116" s="5">
        <v>0</v>
      </c>
      <c r="AA116" s="5">
        <v>1.93</v>
      </c>
      <c r="AB116" s="5">
        <v>0</v>
      </c>
      <c r="AC116" s="5">
        <v>0</v>
      </c>
      <c r="AD116" s="5">
        <v>1.79</v>
      </c>
      <c r="AE116" s="5">
        <v>5.61</v>
      </c>
      <c r="AF116" s="5">
        <v>2.67</v>
      </c>
      <c r="AG116" s="5">
        <v>26.52</v>
      </c>
      <c r="AH116" s="5">
        <v>31.1</v>
      </c>
      <c r="AI116" s="5">
        <v>0</v>
      </c>
      <c r="AJ116" s="5">
        <v>0</v>
      </c>
      <c r="AK116" s="5">
        <v>38.770000000000003</v>
      </c>
      <c r="AL116" s="5">
        <v>14.58</v>
      </c>
      <c r="AM116" s="5">
        <v>23.34</v>
      </c>
      <c r="AN116" s="5">
        <v>38.64</v>
      </c>
      <c r="AO116" s="5">
        <v>22.12</v>
      </c>
      <c r="AP116" s="5">
        <v>1</v>
      </c>
      <c r="AQ116" t="str">
        <f>IF(COUNTIF([1]Country_Classifications!$B$2:$B$40, $A116)&gt;0, "Africa", "Others")</f>
        <v>Africa</v>
      </c>
    </row>
    <row r="117" spans="1:43" ht="15.75" hidden="1" customHeight="1" x14ac:dyDescent="0.35">
      <c r="A117" s="3" t="s">
        <v>83</v>
      </c>
      <c r="B117" s="4" t="s">
        <v>84</v>
      </c>
      <c r="C117" s="5">
        <v>50.25</v>
      </c>
      <c r="D117" s="5">
        <v>50.25</v>
      </c>
      <c r="E117" s="5">
        <v>63.41</v>
      </c>
      <c r="F117" s="5">
        <v>71.209999999999994</v>
      </c>
      <c r="G117" s="5">
        <v>0</v>
      </c>
      <c r="H117" s="5">
        <v>64.77</v>
      </c>
      <c r="I117" s="5">
        <v>64.77</v>
      </c>
      <c r="J117" s="5">
        <v>64.77</v>
      </c>
      <c r="K117" s="5">
        <v>0</v>
      </c>
      <c r="L117" s="5">
        <v>64.09</v>
      </c>
      <c r="M117" s="5">
        <v>0</v>
      </c>
      <c r="N117" s="5">
        <v>71.97</v>
      </c>
      <c r="O117" s="5">
        <v>65.45</v>
      </c>
      <c r="P117" s="5">
        <v>73.86</v>
      </c>
      <c r="Q117" s="5">
        <v>64.09</v>
      </c>
      <c r="R117" s="5">
        <v>70.45</v>
      </c>
      <c r="S117" s="5">
        <v>0</v>
      </c>
      <c r="T117" s="5">
        <v>9.66</v>
      </c>
      <c r="U117" s="5">
        <v>0</v>
      </c>
      <c r="V117" s="5">
        <v>7.69</v>
      </c>
      <c r="W117" s="5">
        <v>7.69</v>
      </c>
      <c r="X117" s="5">
        <v>0</v>
      </c>
      <c r="Y117" s="5">
        <v>24.62</v>
      </c>
      <c r="Z117" s="5">
        <v>45</v>
      </c>
      <c r="AA117" s="5">
        <v>66.430000000000007</v>
      </c>
      <c r="AB117" s="5">
        <v>82.8</v>
      </c>
      <c r="AC117" s="5">
        <v>90.36</v>
      </c>
      <c r="AD117" s="5">
        <v>85.81</v>
      </c>
      <c r="AE117" s="5">
        <v>66.58</v>
      </c>
      <c r="AF117" s="5">
        <v>78.400000000000006</v>
      </c>
      <c r="AG117" s="5">
        <v>70.33</v>
      </c>
      <c r="AH117" s="5">
        <v>94.17</v>
      </c>
      <c r="AI117" s="5">
        <v>91.8</v>
      </c>
      <c r="AJ117" s="5">
        <v>87.5</v>
      </c>
      <c r="AK117" s="5">
        <v>82.84</v>
      </c>
      <c r="AL117" s="5">
        <v>83.95</v>
      </c>
      <c r="AM117" s="5">
        <v>66.53</v>
      </c>
      <c r="AN117" s="5">
        <v>75.28</v>
      </c>
      <c r="AO117" s="5">
        <v>67.53</v>
      </c>
      <c r="AP117" s="5">
        <v>1</v>
      </c>
      <c r="AQ117" t="str">
        <f>IF(COUNTIF([1]Country_Classifications!$B$2:$B$40, $A117)&gt;0, "Africa", "Others")</f>
        <v>Others</v>
      </c>
    </row>
    <row r="118" spans="1:43" ht="15.75" hidden="1" customHeight="1" x14ac:dyDescent="0.35">
      <c r="A118" s="3" t="s">
        <v>32</v>
      </c>
      <c r="B118" s="4" t="s">
        <v>33</v>
      </c>
      <c r="C118" s="5">
        <v>66.13</v>
      </c>
      <c r="D118" s="5">
        <v>66.13</v>
      </c>
      <c r="E118" s="5">
        <v>63.41</v>
      </c>
      <c r="F118" s="5">
        <v>80.3</v>
      </c>
      <c r="G118" s="5">
        <v>74.239999999999995</v>
      </c>
      <c r="H118" s="5">
        <v>64.77</v>
      </c>
      <c r="I118" s="5">
        <v>64.77</v>
      </c>
      <c r="J118" s="5">
        <v>64.77</v>
      </c>
      <c r="K118" s="5">
        <v>59.32</v>
      </c>
      <c r="L118" s="5">
        <v>73.180000000000007</v>
      </c>
      <c r="M118" s="5">
        <v>75.760000000000005</v>
      </c>
      <c r="N118" s="5">
        <v>67.42</v>
      </c>
      <c r="O118" s="5">
        <v>74.55</v>
      </c>
      <c r="P118" s="5">
        <v>64.77</v>
      </c>
      <c r="Q118" s="5">
        <v>64.09</v>
      </c>
      <c r="R118" s="5">
        <v>79.55</v>
      </c>
      <c r="S118" s="5">
        <v>42.05</v>
      </c>
      <c r="T118" s="5">
        <v>0</v>
      </c>
      <c r="U118" s="5">
        <v>75.569999999999993</v>
      </c>
      <c r="V118" s="5">
        <v>7.69</v>
      </c>
      <c r="W118" s="5">
        <v>46.15</v>
      </c>
      <c r="X118" s="5">
        <v>10.26</v>
      </c>
      <c r="Y118" s="5">
        <v>26.37</v>
      </c>
      <c r="Z118" s="5">
        <v>90</v>
      </c>
      <c r="AA118" s="5">
        <v>71.010000000000005</v>
      </c>
      <c r="AB118" s="5">
        <v>76.069999999999993</v>
      </c>
      <c r="AC118" s="5">
        <v>87.23</v>
      </c>
      <c r="AD118" s="5">
        <v>76.06</v>
      </c>
      <c r="AE118" s="5">
        <v>76.64</v>
      </c>
      <c r="AF118" s="5">
        <v>88.53</v>
      </c>
      <c r="AG118" s="5">
        <v>68.989999999999995</v>
      </c>
      <c r="AH118" s="5">
        <v>96.3</v>
      </c>
      <c r="AI118" s="5">
        <v>100</v>
      </c>
      <c r="AJ118" s="5">
        <v>87.5</v>
      </c>
      <c r="AK118" s="5">
        <v>96.4</v>
      </c>
      <c r="AL118" s="5">
        <v>93.15</v>
      </c>
      <c r="AM118" s="5">
        <v>72.08</v>
      </c>
      <c r="AN118" s="5">
        <v>92.76</v>
      </c>
      <c r="AO118" s="5">
        <v>68.739999999999995</v>
      </c>
      <c r="AP118" s="5">
        <v>1</v>
      </c>
      <c r="AQ118" t="str">
        <f>IF(COUNTIF([1]Country_Classifications!$B$2:$B$40, $A118)&gt;0, "Africa", "Others")</f>
        <v>Others</v>
      </c>
    </row>
    <row r="119" spans="1:43" ht="15.75" customHeight="1" x14ac:dyDescent="0.35">
      <c r="A119" s="3" t="s">
        <v>288</v>
      </c>
      <c r="B119" s="4" t="s">
        <v>289</v>
      </c>
      <c r="C119" s="5">
        <v>6.51</v>
      </c>
      <c r="D119" s="5">
        <v>6.51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9.09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8.2100000000000009</v>
      </c>
      <c r="AB119" s="5">
        <v>0</v>
      </c>
      <c r="AC119" s="5">
        <v>0</v>
      </c>
      <c r="AD119" s="5">
        <v>5.41</v>
      </c>
      <c r="AE119" s="5">
        <v>18.309999999999999</v>
      </c>
      <c r="AF119" s="5">
        <v>0</v>
      </c>
      <c r="AG119" s="5">
        <v>25.91</v>
      </c>
      <c r="AH119" s="5">
        <v>46.11</v>
      </c>
      <c r="AI119" s="5">
        <v>91.8</v>
      </c>
      <c r="AJ119" s="5">
        <v>37.5</v>
      </c>
      <c r="AK119" s="5">
        <v>74.150000000000006</v>
      </c>
      <c r="AL119" s="5">
        <v>38.68</v>
      </c>
      <c r="AM119" s="5">
        <v>42.08</v>
      </c>
      <c r="AN119" s="5">
        <v>0</v>
      </c>
      <c r="AO119" s="5">
        <v>9.73</v>
      </c>
      <c r="AP119" s="5">
        <v>1</v>
      </c>
      <c r="AQ119" t="str">
        <f>IF(COUNTIF([1]Country_Classifications!$B$2:$B$40, $A119)&gt;0, "Africa", "Others")</f>
        <v>Africa</v>
      </c>
    </row>
    <row r="120" spans="1:43" ht="15.75" customHeight="1" x14ac:dyDescent="0.35">
      <c r="A120" s="3" t="s">
        <v>256</v>
      </c>
      <c r="B120" s="4" t="s">
        <v>257</v>
      </c>
      <c r="C120" s="5">
        <v>14.4</v>
      </c>
      <c r="D120" s="5">
        <v>14.4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9.09</v>
      </c>
      <c r="N120" s="5">
        <v>18.18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7.69</v>
      </c>
      <c r="W120" s="5">
        <v>15.38</v>
      </c>
      <c r="X120" s="5">
        <v>0</v>
      </c>
      <c r="Y120" s="5">
        <v>0</v>
      </c>
      <c r="Z120" s="5">
        <v>0</v>
      </c>
      <c r="AA120" s="5">
        <v>27.17</v>
      </c>
      <c r="AB120" s="5">
        <v>12.09</v>
      </c>
      <c r="AC120" s="5">
        <v>52.94</v>
      </c>
      <c r="AD120" s="5">
        <v>29.58</v>
      </c>
      <c r="AE120" s="5">
        <v>37.85</v>
      </c>
      <c r="AF120" s="5">
        <v>46.13</v>
      </c>
      <c r="AG120" s="5">
        <v>36.03</v>
      </c>
      <c r="AH120" s="5">
        <v>89.56</v>
      </c>
      <c r="AI120" s="5">
        <v>83.4</v>
      </c>
      <c r="AJ120" s="5">
        <v>12.5</v>
      </c>
      <c r="AK120" s="5">
        <v>86.23</v>
      </c>
      <c r="AL120" s="5">
        <v>48.44</v>
      </c>
      <c r="AM120" s="5">
        <v>51.52</v>
      </c>
      <c r="AN120" s="5">
        <v>78.09</v>
      </c>
      <c r="AO120" s="5">
        <v>3.87</v>
      </c>
      <c r="AP120" s="5">
        <v>1</v>
      </c>
      <c r="AQ120" t="str">
        <f>IF(COUNTIF([1]Country_Classifications!$B$2:$B$40, $A120)&gt;0, "Africa", "Others")</f>
        <v>Africa</v>
      </c>
    </row>
    <row r="121" spans="1:43" ht="15.75" hidden="1" customHeight="1" x14ac:dyDescent="0.35">
      <c r="A121" s="3" t="s">
        <v>142</v>
      </c>
      <c r="B121" s="4" t="s">
        <v>143</v>
      </c>
      <c r="C121" s="5">
        <v>36.99</v>
      </c>
      <c r="D121" s="5">
        <v>36.99</v>
      </c>
      <c r="E121" s="5">
        <v>0</v>
      </c>
      <c r="F121" s="5">
        <v>9.09</v>
      </c>
      <c r="G121" s="5">
        <v>0</v>
      </c>
      <c r="H121" s="5">
        <v>40.15</v>
      </c>
      <c r="I121" s="5">
        <v>39.39</v>
      </c>
      <c r="J121" s="5">
        <v>37.880000000000003</v>
      </c>
      <c r="K121" s="5">
        <v>37.119999999999997</v>
      </c>
      <c r="L121" s="5">
        <v>0</v>
      </c>
      <c r="M121" s="5">
        <v>73.86</v>
      </c>
      <c r="N121" s="5">
        <v>76.14</v>
      </c>
      <c r="O121" s="5">
        <v>39.200000000000003</v>
      </c>
      <c r="P121" s="5">
        <v>0</v>
      </c>
      <c r="Q121" s="5">
        <v>39.39</v>
      </c>
      <c r="R121" s="5">
        <v>0</v>
      </c>
      <c r="S121" s="5">
        <v>71.59</v>
      </c>
      <c r="T121" s="5">
        <v>0</v>
      </c>
      <c r="U121" s="5">
        <v>38.07</v>
      </c>
      <c r="V121" s="5">
        <v>30.77</v>
      </c>
      <c r="W121" s="5">
        <v>7.69</v>
      </c>
      <c r="X121" s="5">
        <v>20.51</v>
      </c>
      <c r="Y121" s="5">
        <v>8.7899999999999991</v>
      </c>
      <c r="Z121" s="5">
        <v>30</v>
      </c>
      <c r="AA121" s="5">
        <v>27.9</v>
      </c>
      <c r="AB121" s="5">
        <v>41.61</v>
      </c>
      <c r="AC121" s="5">
        <v>100</v>
      </c>
      <c r="AD121" s="5">
        <v>14.84</v>
      </c>
      <c r="AE121" s="5">
        <v>47.89</v>
      </c>
      <c r="AF121" s="5">
        <v>77.33</v>
      </c>
      <c r="AG121" s="5">
        <v>40.1</v>
      </c>
      <c r="AH121" s="5">
        <v>99.18</v>
      </c>
      <c r="AI121" s="5">
        <v>58.4</v>
      </c>
      <c r="AJ121" s="5">
        <v>87.5</v>
      </c>
      <c r="AK121" s="5">
        <v>95.13</v>
      </c>
      <c r="AL121" s="5">
        <v>65.180000000000007</v>
      </c>
      <c r="AM121" s="5">
        <v>55.27</v>
      </c>
      <c r="AN121" s="5">
        <v>90.89</v>
      </c>
      <c r="AO121" s="5">
        <v>35.119999999999997</v>
      </c>
      <c r="AP121" s="5">
        <v>1</v>
      </c>
      <c r="AQ121" t="str">
        <f>IF(COUNTIF([1]Country_Classifications!$B$2:$B$40, $A121)&gt;0, "Africa", "Others")</f>
        <v>Others</v>
      </c>
    </row>
    <row r="122" spans="1:43" ht="15.75" hidden="1" customHeight="1" x14ac:dyDescent="0.35">
      <c r="A122" s="3" t="s">
        <v>230</v>
      </c>
      <c r="B122" s="4" t="s">
        <v>231</v>
      </c>
      <c r="C122" s="5">
        <v>18.420000000000002</v>
      </c>
      <c r="D122" s="5">
        <v>18.420000000000002</v>
      </c>
      <c r="E122" s="5">
        <v>0</v>
      </c>
      <c r="F122" s="5">
        <v>0</v>
      </c>
      <c r="G122" s="5">
        <v>0</v>
      </c>
      <c r="H122" s="5">
        <v>0</v>
      </c>
      <c r="I122" s="5">
        <v>59.09</v>
      </c>
      <c r="J122" s="5">
        <v>0</v>
      </c>
      <c r="K122" s="5">
        <v>0</v>
      </c>
      <c r="L122" s="5">
        <v>0</v>
      </c>
      <c r="M122" s="5">
        <v>0</v>
      </c>
      <c r="N122" s="5">
        <v>40.15</v>
      </c>
      <c r="O122" s="5">
        <v>59.09</v>
      </c>
      <c r="P122" s="5">
        <v>0</v>
      </c>
      <c r="Q122" s="5">
        <v>0</v>
      </c>
      <c r="R122" s="5">
        <v>0</v>
      </c>
      <c r="S122" s="5">
        <v>29.55</v>
      </c>
      <c r="T122" s="5">
        <v>0</v>
      </c>
      <c r="U122" s="5">
        <v>0</v>
      </c>
      <c r="V122" s="5">
        <v>7.69</v>
      </c>
      <c r="W122" s="5">
        <v>0</v>
      </c>
      <c r="X122" s="5">
        <v>10.26</v>
      </c>
      <c r="Y122" s="5">
        <v>0</v>
      </c>
      <c r="Z122" s="5">
        <v>15</v>
      </c>
      <c r="AA122" s="5">
        <v>5.31</v>
      </c>
      <c r="AB122" s="5">
        <v>0</v>
      </c>
      <c r="AC122" s="5">
        <v>34.380000000000003</v>
      </c>
      <c r="AD122" s="5">
        <v>94.59</v>
      </c>
      <c r="AE122" s="5">
        <v>24.59</v>
      </c>
      <c r="AF122" s="5">
        <v>61.07</v>
      </c>
      <c r="AG122" s="5">
        <v>36.950000000000003</v>
      </c>
      <c r="AH122" s="5">
        <v>21.64</v>
      </c>
      <c r="AI122" s="5">
        <v>66.8</v>
      </c>
      <c r="AJ122" s="5">
        <v>68.75</v>
      </c>
      <c r="AK122" s="5">
        <v>25.85</v>
      </c>
      <c r="AL122" s="5">
        <v>66.150000000000006</v>
      </c>
      <c r="AM122" s="5">
        <v>9.91</v>
      </c>
      <c r="AN122" s="5">
        <v>13.55</v>
      </c>
      <c r="AO122" s="5">
        <v>32.840000000000003</v>
      </c>
      <c r="AP122" s="5">
        <v>1</v>
      </c>
      <c r="AQ122" t="str">
        <f>IF(COUNTIF([1]Country_Classifications!$B$2:$B$40, $A122)&gt;0, "Africa", "Others")</f>
        <v>Others</v>
      </c>
    </row>
    <row r="123" spans="1:43" ht="15.75" hidden="1" customHeight="1" x14ac:dyDescent="0.35">
      <c r="A123" s="3" t="s">
        <v>276</v>
      </c>
      <c r="B123" s="4" t="s">
        <v>277</v>
      </c>
      <c r="C123" s="5">
        <v>11.31</v>
      </c>
      <c r="D123" s="5">
        <v>11.31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L123" s="5">
        <v>0</v>
      </c>
      <c r="M123" s="5">
        <v>9.09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9.09</v>
      </c>
      <c r="T123" s="5">
        <v>0</v>
      </c>
      <c r="U123" s="5">
        <v>0</v>
      </c>
      <c r="V123" s="5">
        <v>15.38</v>
      </c>
      <c r="W123" s="5">
        <v>0</v>
      </c>
      <c r="X123" s="5">
        <v>0</v>
      </c>
      <c r="Y123" s="5">
        <v>0</v>
      </c>
      <c r="Z123" s="5">
        <v>0</v>
      </c>
      <c r="AA123" s="5">
        <v>8.57</v>
      </c>
      <c r="AB123" s="5">
        <v>60.35</v>
      </c>
      <c r="AC123" s="5">
        <v>100</v>
      </c>
      <c r="AD123" s="5">
        <v>0.03</v>
      </c>
      <c r="AE123" s="5">
        <v>19.07</v>
      </c>
      <c r="AF123" s="5">
        <v>77.33</v>
      </c>
      <c r="AG123" s="5">
        <v>33.630000000000003</v>
      </c>
      <c r="AH123" s="5">
        <v>22.15</v>
      </c>
      <c r="AI123" s="5">
        <v>16.8</v>
      </c>
      <c r="AJ123" s="5">
        <v>37.5</v>
      </c>
      <c r="AK123" s="5">
        <v>16.53</v>
      </c>
      <c r="AL123" s="5">
        <v>65.09</v>
      </c>
      <c r="AM123" s="5">
        <v>5.6</v>
      </c>
      <c r="AN123" s="5">
        <v>16.600000000000001</v>
      </c>
      <c r="AO123" s="5">
        <v>32.840000000000003</v>
      </c>
      <c r="AP123" s="5">
        <v>1</v>
      </c>
      <c r="AQ123" t="str">
        <f>IF(COUNTIF([1]Country_Classifications!$B$2:$B$40, $A123)&gt;0, "Africa", "Others")</f>
        <v>Others</v>
      </c>
    </row>
    <row r="124" spans="1:43" ht="15.75" hidden="1" customHeight="1" x14ac:dyDescent="0.35">
      <c r="A124" s="3" t="s">
        <v>194</v>
      </c>
      <c r="B124" s="4" t="s">
        <v>195</v>
      </c>
      <c r="C124" s="5">
        <v>26.14</v>
      </c>
      <c r="D124" s="5">
        <v>26.14</v>
      </c>
      <c r="E124" s="5">
        <v>0</v>
      </c>
      <c r="F124" s="5">
        <v>0</v>
      </c>
      <c r="G124" s="5">
        <v>0</v>
      </c>
      <c r="H124" s="5">
        <v>61.74</v>
      </c>
      <c r="I124" s="5">
        <v>20.45</v>
      </c>
      <c r="J124" s="5">
        <v>9.09</v>
      </c>
      <c r="K124" s="5">
        <v>0</v>
      </c>
      <c r="L124" s="5">
        <v>9.09</v>
      </c>
      <c r="M124" s="5">
        <v>69.319999999999993</v>
      </c>
      <c r="N124" s="5">
        <v>0</v>
      </c>
      <c r="O124" s="5">
        <v>11.36</v>
      </c>
      <c r="P124" s="5">
        <v>0</v>
      </c>
      <c r="Q124" s="5">
        <v>11.36</v>
      </c>
      <c r="R124" s="5">
        <v>18.18</v>
      </c>
      <c r="S124" s="5">
        <v>18.18</v>
      </c>
      <c r="T124" s="5">
        <v>0</v>
      </c>
      <c r="U124" s="5">
        <v>0</v>
      </c>
      <c r="V124" s="5">
        <v>23.08</v>
      </c>
      <c r="W124" s="5">
        <v>0</v>
      </c>
      <c r="X124" s="5">
        <v>0</v>
      </c>
      <c r="Y124" s="5">
        <v>4.4000000000000004</v>
      </c>
      <c r="Z124" s="5">
        <v>40</v>
      </c>
      <c r="AA124" s="5">
        <v>77.900000000000006</v>
      </c>
      <c r="AB124" s="5">
        <v>54.72</v>
      </c>
      <c r="AC124" s="5">
        <v>100</v>
      </c>
      <c r="AD124" s="5">
        <v>0.1</v>
      </c>
      <c r="AE124" s="5">
        <v>44.14</v>
      </c>
      <c r="AF124" s="5">
        <v>66.13</v>
      </c>
      <c r="AG124" s="5">
        <v>56.9</v>
      </c>
      <c r="AH124" s="5">
        <v>54.04</v>
      </c>
      <c r="AI124" s="5">
        <v>58.4</v>
      </c>
      <c r="AJ124" s="5">
        <v>37.5</v>
      </c>
      <c r="AK124" s="5">
        <v>97.88</v>
      </c>
      <c r="AL124" s="5">
        <v>65.040000000000006</v>
      </c>
      <c r="AM124" s="5">
        <v>82.75</v>
      </c>
      <c r="AN124" s="5">
        <v>58.67</v>
      </c>
      <c r="AO124" s="5">
        <v>35.42</v>
      </c>
      <c r="AP124" s="5">
        <v>1</v>
      </c>
      <c r="AQ124" t="str">
        <f>IF(COUNTIF([1]Country_Classifications!$B$2:$B$40, $A124)&gt;0, "Africa", "Others")</f>
        <v>Others</v>
      </c>
    </row>
    <row r="125" spans="1:43" ht="15.75" customHeight="1" x14ac:dyDescent="0.35">
      <c r="A125" s="3" t="s">
        <v>242</v>
      </c>
      <c r="B125" s="4" t="s">
        <v>243</v>
      </c>
      <c r="C125" s="5">
        <v>16.37</v>
      </c>
      <c r="D125" s="5">
        <v>16.37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30.77</v>
      </c>
      <c r="W125" s="5">
        <v>23.08</v>
      </c>
      <c r="X125" s="5">
        <v>0</v>
      </c>
      <c r="Y125" s="5">
        <v>26.37</v>
      </c>
      <c r="Z125" s="5">
        <v>0</v>
      </c>
      <c r="AA125" s="5">
        <v>37.08</v>
      </c>
      <c r="AB125" s="5">
        <v>46.57</v>
      </c>
      <c r="AC125" s="5">
        <v>77.78</v>
      </c>
      <c r="AD125" s="5">
        <v>4.4000000000000004</v>
      </c>
      <c r="AE125" s="5">
        <v>44.31</v>
      </c>
      <c r="AF125" s="5">
        <v>69.87</v>
      </c>
      <c r="AG125" s="5">
        <v>19.88</v>
      </c>
      <c r="AH125" s="5">
        <v>81.03</v>
      </c>
      <c r="AI125" s="5">
        <v>91.8</v>
      </c>
      <c r="AJ125" s="5">
        <v>37.5</v>
      </c>
      <c r="AK125" s="5">
        <v>71.61</v>
      </c>
      <c r="AL125" s="5">
        <v>66.05</v>
      </c>
      <c r="AM125" s="5">
        <v>55.05</v>
      </c>
      <c r="AN125" s="5">
        <v>74.55</v>
      </c>
      <c r="AO125" s="5">
        <v>30.76</v>
      </c>
      <c r="AP125" s="5">
        <v>1</v>
      </c>
      <c r="AQ125" t="str">
        <f>IF(COUNTIF([1]Country_Classifications!$B$2:$B$40, $A125)&gt;0, "Africa", "Others")</f>
        <v>Africa</v>
      </c>
    </row>
    <row r="126" spans="1:43" ht="15.75" customHeight="1" x14ac:dyDescent="0.35">
      <c r="A126" s="3" t="s">
        <v>208</v>
      </c>
      <c r="B126" s="4" t="s">
        <v>209</v>
      </c>
      <c r="C126" s="5">
        <v>22.96</v>
      </c>
      <c r="D126" s="5">
        <v>22.96</v>
      </c>
      <c r="E126" s="5">
        <v>0</v>
      </c>
      <c r="F126" s="5">
        <v>75.760000000000005</v>
      </c>
      <c r="G126" s="5">
        <v>12.12</v>
      </c>
      <c r="H126" s="5">
        <v>13.64</v>
      </c>
      <c r="I126" s="5">
        <v>12.88</v>
      </c>
      <c r="J126" s="5">
        <v>12.12</v>
      </c>
      <c r="K126" s="5">
        <v>0</v>
      </c>
      <c r="L126" s="5">
        <v>0</v>
      </c>
      <c r="M126" s="5">
        <v>9.85</v>
      </c>
      <c r="N126" s="5">
        <v>10.61</v>
      </c>
      <c r="O126" s="5">
        <v>13.07</v>
      </c>
      <c r="P126" s="5">
        <v>0</v>
      </c>
      <c r="Q126" s="5">
        <v>12.12</v>
      </c>
      <c r="R126" s="5">
        <v>9.09</v>
      </c>
      <c r="S126" s="5">
        <v>9.09</v>
      </c>
      <c r="T126" s="5">
        <v>0</v>
      </c>
      <c r="U126" s="5">
        <v>0</v>
      </c>
      <c r="V126" s="5">
        <v>15.38</v>
      </c>
      <c r="W126" s="5">
        <v>30.77</v>
      </c>
      <c r="X126" s="5">
        <v>10.26</v>
      </c>
      <c r="Y126" s="5">
        <v>4.4000000000000004</v>
      </c>
      <c r="Z126" s="5">
        <v>0</v>
      </c>
      <c r="AA126" s="5">
        <v>36.47</v>
      </c>
      <c r="AB126" s="5">
        <v>30.39</v>
      </c>
      <c r="AC126" s="5">
        <v>31.03</v>
      </c>
      <c r="AD126" s="5">
        <v>32.92</v>
      </c>
      <c r="AE126" s="5">
        <v>40.58</v>
      </c>
      <c r="AF126" s="5">
        <v>42.13</v>
      </c>
      <c r="AG126" s="5">
        <v>44.52</v>
      </c>
      <c r="AH126" s="5">
        <v>99.23</v>
      </c>
      <c r="AI126" s="5">
        <v>50.2</v>
      </c>
      <c r="AJ126" s="5">
        <v>87.5</v>
      </c>
      <c r="AK126" s="5">
        <v>90.68</v>
      </c>
      <c r="AL126" s="5">
        <v>67.569999999999993</v>
      </c>
      <c r="AM126" s="5">
        <v>59.63</v>
      </c>
      <c r="AN126" s="5">
        <v>89.31</v>
      </c>
      <c r="AO126" s="5">
        <v>18.850000000000001</v>
      </c>
      <c r="AP126" s="5">
        <v>1</v>
      </c>
      <c r="AQ126" t="str">
        <f>IF(COUNTIF([1]Country_Classifications!$B$2:$B$40, $A126)&gt;0, "Africa", "Others")</f>
        <v>Africa</v>
      </c>
    </row>
    <row r="127" spans="1:43" ht="15.75" customHeight="1" x14ac:dyDescent="0.35">
      <c r="A127" s="3" t="s">
        <v>236</v>
      </c>
      <c r="B127" s="4" t="s">
        <v>237</v>
      </c>
      <c r="C127" s="5">
        <v>17.010000000000002</v>
      </c>
      <c r="D127" s="5">
        <v>17.71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55.91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56.59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7.69</v>
      </c>
      <c r="W127" s="5">
        <v>0</v>
      </c>
      <c r="X127" s="5">
        <v>0</v>
      </c>
      <c r="Y127" s="5">
        <v>13.19</v>
      </c>
      <c r="Z127" s="5">
        <v>0</v>
      </c>
      <c r="AA127" s="5">
        <v>14.86</v>
      </c>
      <c r="AB127" s="5">
        <v>15.47</v>
      </c>
      <c r="AC127" s="5">
        <v>5.57</v>
      </c>
      <c r="AD127" s="5">
        <v>97.07</v>
      </c>
      <c r="AE127" s="5">
        <v>35.31</v>
      </c>
      <c r="AF127" s="5">
        <v>47.47</v>
      </c>
      <c r="AG127" s="5">
        <v>13.53</v>
      </c>
      <c r="AH127" s="5">
        <v>82.26</v>
      </c>
      <c r="AI127" s="5">
        <v>66.8</v>
      </c>
      <c r="AJ127" s="5">
        <v>93.75</v>
      </c>
      <c r="AK127" s="5">
        <v>91.53</v>
      </c>
      <c r="AL127" s="5">
        <v>55.98</v>
      </c>
      <c r="AM127" s="5">
        <v>43.02</v>
      </c>
      <c r="AN127" s="5">
        <v>80.959999999999994</v>
      </c>
      <c r="AO127" s="5">
        <v>11.95</v>
      </c>
      <c r="AP127" s="5">
        <v>0.96</v>
      </c>
      <c r="AQ127" t="str">
        <f>IF(COUNTIF([1]Country_Classifications!$B$2:$B$40, $A127)&gt;0, "Africa", "Others")</f>
        <v>Africa</v>
      </c>
    </row>
    <row r="128" spans="1:43" ht="15.75" hidden="1" customHeight="1" x14ac:dyDescent="0.35">
      <c r="A128" s="3" t="s">
        <v>110</v>
      </c>
      <c r="B128" s="4" t="s">
        <v>111</v>
      </c>
      <c r="C128" s="5">
        <v>42.17</v>
      </c>
      <c r="D128" s="5">
        <v>45.34</v>
      </c>
      <c r="E128" s="5">
        <v>0</v>
      </c>
      <c r="F128" s="5">
        <v>34.85</v>
      </c>
      <c r="G128" s="5">
        <v>43.94</v>
      </c>
      <c r="H128" s="5">
        <v>33.33</v>
      </c>
      <c r="I128" s="5">
        <v>51.82</v>
      </c>
      <c r="J128" s="5">
        <v>44.7</v>
      </c>
      <c r="K128" s="5">
        <v>0</v>
      </c>
      <c r="L128" s="5">
        <v>9.09</v>
      </c>
      <c r="M128" s="5">
        <v>64.77</v>
      </c>
      <c r="N128" s="5">
        <v>67.8</v>
      </c>
      <c r="O128" s="5">
        <v>44.89</v>
      </c>
      <c r="P128" s="5">
        <v>67.73</v>
      </c>
      <c r="Q128" s="5">
        <v>44.55</v>
      </c>
      <c r="R128" s="5">
        <v>42.61</v>
      </c>
      <c r="S128" s="5">
        <v>28.03</v>
      </c>
      <c r="T128" s="5">
        <v>0</v>
      </c>
      <c r="U128" s="5">
        <v>0</v>
      </c>
      <c r="V128" s="5">
        <v>43.08</v>
      </c>
      <c r="W128" s="5">
        <v>67.69</v>
      </c>
      <c r="X128" s="5">
        <v>51.28</v>
      </c>
      <c r="Y128" s="5">
        <v>96.7</v>
      </c>
      <c r="Z128" s="5">
        <v>75</v>
      </c>
      <c r="AA128" s="5">
        <v>34.42</v>
      </c>
      <c r="AB128" s="5">
        <v>50.1</v>
      </c>
      <c r="AC128" s="5">
        <v>100</v>
      </c>
      <c r="AD128" s="5">
        <v>73.92</v>
      </c>
      <c r="AE128" s="5">
        <v>35.75</v>
      </c>
      <c r="AF128" s="5">
        <v>80</v>
      </c>
      <c r="AG128" s="5">
        <v>50.87</v>
      </c>
      <c r="AH128" s="5">
        <v>83.14</v>
      </c>
      <c r="AI128" s="5">
        <v>50.2</v>
      </c>
      <c r="AJ128" s="5">
        <v>93.75</v>
      </c>
      <c r="AK128" s="5">
        <v>88.14</v>
      </c>
      <c r="AL128" s="5">
        <v>0</v>
      </c>
      <c r="AM128" s="5">
        <v>56.32</v>
      </c>
      <c r="AN128" s="5">
        <v>97.34</v>
      </c>
      <c r="AO128" s="5">
        <v>53.77</v>
      </c>
      <c r="AP128" s="5">
        <v>0.93</v>
      </c>
      <c r="AQ128" t="str">
        <f>IF(COUNTIF([1]Country_Classifications!$B$2:$B$40, $A128)&gt;0, "Africa", "Others")</f>
        <v>Others</v>
      </c>
    </row>
    <row r="129" spans="1:43" ht="15.75" hidden="1" customHeight="1" x14ac:dyDescent="0.35">
      <c r="A129" s="3" t="s">
        <v>61</v>
      </c>
      <c r="B129" s="4" t="s">
        <v>62</v>
      </c>
      <c r="C129" s="5">
        <v>56.99</v>
      </c>
      <c r="D129" s="5">
        <v>59.36</v>
      </c>
      <c r="E129" s="5">
        <v>64.39</v>
      </c>
      <c r="F129" s="5">
        <v>0</v>
      </c>
      <c r="G129" s="5">
        <v>63.64</v>
      </c>
      <c r="H129" s="5">
        <v>74.239999999999995</v>
      </c>
      <c r="I129" s="5">
        <v>72.73</v>
      </c>
      <c r="J129" s="5">
        <v>63.64</v>
      </c>
      <c r="K129" s="5">
        <v>0</v>
      </c>
      <c r="L129" s="5">
        <v>39.39</v>
      </c>
      <c r="M129" s="5">
        <v>62.88</v>
      </c>
      <c r="N129" s="5">
        <v>9.09</v>
      </c>
      <c r="O129" s="5">
        <v>63.64</v>
      </c>
      <c r="P129" s="5">
        <v>62.73</v>
      </c>
      <c r="Q129" s="5">
        <v>74.239999999999995</v>
      </c>
      <c r="R129" s="5">
        <v>61.93</v>
      </c>
      <c r="S129" s="5">
        <v>74.239999999999995</v>
      </c>
      <c r="T129" s="5">
        <v>72.16</v>
      </c>
      <c r="U129" s="5">
        <v>63.07</v>
      </c>
      <c r="V129" s="5">
        <v>0</v>
      </c>
      <c r="W129" s="5">
        <v>38.46</v>
      </c>
      <c r="X129" s="5">
        <v>20.51</v>
      </c>
      <c r="Y129" s="5">
        <v>13.19</v>
      </c>
      <c r="Z129" s="5">
        <v>30</v>
      </c>
      <c r="AA129" s="5">
        <v>81.760000000000005</v>
      </c>
      <c r="AB129" s="5">
        <v>72.510000000000005</v>
      </c>
      <c r="AC129" s="5">
        <v>95.7</v>
      </c>
      <c r="AD129" s="5">
        <v>98.88</v>
      </c>
      <c r="AE129" s="5">
        <v>75.959999999999994</v>
      </c>
      <c r="AF129" s="5">
        <v>85.07</v>
      </c>
      <c r="AG129" s="5">
        <v>85.74</v>
      </c>
      <c r="AH129" s="5">
        <v>94.43</v>
      </c>
      <c r="AI129" s="5">
        <v>50.2</v>
      </c>
      <c r="AJ129" s="5">
        <v>87.5</v>
      </c>
      <c r="AK129" s="5">
        <v>85.59</v>
      </c>
      <c r="AL129" s="5">
        <v>75.900000000000006</v>
      </c>
      <c r="AM129" s="5">
        <v>87.2</v>
      </c>
      <c r="AN129" s="5">
        <v>94.63</v>
      </c>
      <c r="AO129" s="5">
        <v>72.13</v>
      </c>
      <c r="AP129" s="5">
        <v>0.96</v>
      </c>
      <c r="AQ129" t="str">
        <f>IF(COUNTIF([1]Country_Classifications!$B$2:$B$40, $A129)&gt;0, "Africa", "Others")</f>
        <v>Others</v>
      </c>
    </row>
    <row r="130" spans="1:43" ht="15.75" hidden="1" customHeight="1" x14ac:dyDescent="0.35">
      <c r="A130" s="3" t="s">
        <v>73</v>
      </c>
      <c r="B130" s="4" t="s">
        <v>74</v>
      </c>
      <c r="C130" s="5">
        <v>53.34</v>
      </c>
      <c r="D130" s="5">
        <v>57.35</v>
      </c>
      <c r="E130" s="5">
        <v>65.150000000000006</v>
      </c>
      <c r="F130" s="5">
        <v>71.97</v>
      </c>
      <c r="G130" s="5">
        <v>0</v>
      </c>
      <c r="H130" s="5">
        <v>22.73</v>
      </c>
      <c r="I130" s="5">
        <v>37.9</v>
      </c>
      <c r="J130" s="5">
        <v>76.36</v>
      </c>
      <c r="K130" s="5">
        <v>9.09</v>
      </c>
      <c r="L130" s="5">
        <v>38.64</v>
      </c>
      <c r="M130" s="5">
        <v>83.71</v>
      </c>
      <c r="N130" s="5">
        <v>69.7</v>
      </c>
      <c r="O130" s="5">
        <v>38.75</v>
      </c>
      <c r="P130" s="5">
        <v>28.47</v>
      </c>
      <c r="Q130" s="5">
        <v>67.39</v>
      </c>
      <c r="R130" s="5">
        <v>59.09</v>
      </c>
      <c r="S130" s="5">
        <v>38.92</v>
      </c>
      <c r="T130" s="5">
        <v>66.36</v>
      </c>
      <c r="U130" s="5">
        <v>76.989999999999995</v>
      </c>
      <c r="V130" s="5">
        <v>46.15</v>
      </c>
      <c r="W130" s="5">
        <v>61.54</v>
      </c>
      <c r="X130" s="5">
        <v>41.03</v>
      </c>
      <c r="Y130" s="5">
        <v>61.54</v>
      </c>
      <c r="Z130" s="5">
        <v>30</v>
      </c>
      <c r="AA130" s="5">
        <v>55.07</v>
      </c>
      <c r="AB130" s="5">
        <v>87.11</v>
      </c>
      <c r="AC130" s="5">
        <v>100</v>
      </c>
      <c r="AD130" s="5">
        <v>41.87</v>
      </c>
      <c r="AE130" s="5">
        <v>76.23</v>
      </c>
      <c r="AF130" s="5">
        <v>100</v>
      </c>
      <c r="AG130" s="5">
        <v>39.29</v>
      </c>
      <c r="AH130" s="5">
        <v>99.85</v>
      </c>
      <c r="AI130" s="5">
        <v>75</v>
      </c>
      <c r="AJ130" s="5">
        <v>87.5</v>
      </c>
      <c r="AK130" s="5">
        <v>92.16</v>
      </c>
      <c r="AL130" s="5">
        <v>45.58</v>
      </c>
      <c r="AM130" s="5">
        <v>75.72</v>
      </c>
      <c r="AN130" s="5">
        <v>76.92</v>
      </c>
      <c r="AO130" s="5">
        <v>73.930000000000007</v>
      </c>
      <c r="AP130" s="5">
        <v>0.93</v>
      </c>
      <c r="AQ130" t="str">
        <f>IF(COUNTIF([1]Country_Classifications!$B$2:$B$40, $A130)&gt;0, "Africa", "Others")</f>
        <v>Others</v>
      </c>
    </row>
    <row r="131" spans="1:43" ht="15.75" hidden="1" customHeight="1" x14ac:dyDescent="0.35">
      <c r="A131" s="3" t="s">
        <v>188</v>
      </c>
      <c r="B131" s="4" t="s">
        <v>189</v>
      </c>
      <c r="C131" s="5">
        <v>26.82</v>
      </c>
      <c r="D131" s="5">
        <v>26.82</v>
      </c>
      <c r="E131" s="5">
        <v>9.09</v>
      </c>
      <c r="F131" s="5">
        <v>0</v>
      </c>
      <c r="G131" s="5">
        <v>68.180000000000007</v>
      </c>
      <c r="H131" s="5">
        <v>13.64</v>
      </c>
      <c r="I131" s="5">
        <v>13.64</v>
      </c>
      <c r="J131" s="5">
        <v>9.09</v>
      </c>
      <c r="K131" s="5">
        <v>9.09</v>
      </c>
      <c r="L131" s="5">
        <v>0</v>
      </c>
      <c r="M131" s="5">
        <v>69.7</v>
      </c>
      <c r="N131" s="5">
        <v>39.020000000000003</v>
      </c>
      <c r="O131" s="5">
        <v>0</v>
      </c>
      <c r="P131" s="5">
        <v>0</v>
      </c>
      <c r="Q131" s="5">
        <v>11.36</v>
      </c>
      <c r="R131" s="5">
        <v>15.91</v>
      </c>
      <c r="S131" s="5">
        <v>61.74</v>
      </c>
      <c r="T131" s="5">
        <v>0</v>
      </c>
      <c r="U131" s="5">
        <v>0</v>
      </c>
      <c r="V131" s="5">
        <v>7.69</v>
      </c>
      <c r="W131" s="5">
        <v>23.08</v>
      </c>
      <c r="X131" s="5">
        <v>0</v>
      </c>
      <c r="Y131" s="5">
        <v>0</v>
      </c>
      <c r="Z131" s="5">
        <v>0</v>
      </c>
      <c r="AA131" s="5">
        <v>16.55</v>
      </c>
      <c r="AB131" s="5">
        <v>20.74</v>
      </c>
      <c r="AC131" s="5">
        <v>70.37</v>
      </c>
      <c r="AD131" s="5">
        <v>15.95</v>
      </c>
      <c r="AE131" s="5">
        <v>37.29</v>
      </c>
      <c r="AF131" s="5">
        <v>65.33</v>
      </c>
      <c r="AG131" s="5">
        <v>37.340000000000003</v>
      </c>
      <c r="AH131" s="5">
        <v>88.66</v>
      </c>
      <c r="AI131" s="5">
        <v>50.2</v>
      </c>
      <c r="AJ131" s="5">
        <v>87.5</v>
      </c>
      <c r="AK131" s="5">
        <v>67.16</v>
      </c>
      <c r="AL131" s="5">
        <v>69.37</v>
      </c>
      <c r="AM131" s="5">
        <v>36.15</v>
      </c>
      <c r="AN131" s="5">
        <v>95.12</v>
      </c>
      <c r="AO131" s="5">
        <v>15.13</v>
      </c>
      <c r="AP131" s="5">
        <v>1</v>
      </c>
      <c r="AQ131" t="str">
        <f>IF(COUNTIF([1]Country_Classifications!$B$2:$B$40, $A131)&gt;0, "Africa", "Others")</f>
        <v>Others</v>
      </c>
    </row>
    <row r="132" spans="1:43" ht="15.75" hidden="1" customHeight="1" x14ac:dyDescent="0.35">
      <c r="A132" s="3" t="s">
        <v>116</v>
      </c>
      <c r="B132" s="4" t="s">
        <v>117</v>
      </c>
      <c r="C132" s="5">
        <v>41.56</v>
      </c>
      <c r="D132" s="5">
        <v>41.56</v>
      </c>
      <c r="E132" s="5">
        <v>0</v>
      </c>
      <c r="F132" s="5">
        <v>64.02</v>
      </c>
      <c r="G132" s="5">
        <v>20</v>
      </c>
      <c r="H132" s="5">
        <v>21.36</v>
      </c>
      <c r="I132" s="5">
        <v>20.68</v>
      </c>
      <c r="J132" s="5">
        <v>12.27</v>
      </c>
      <c r="K132" s="5">
        <v>28.41</v>
      </c>
      <c r="L132" s="5">
        <v>9.09</v>
      </c>
      <c r="M132" s="5">
        <v>68.56</v>
      </c>
      <c r="N132" s="5">
        <v>75</v>
      </c>
      <c r="O132" s="5">
        <v>20.34</v>
      </c>
      <c r="P132" s="5">
        <v>10.91</v>
      </c>
      <c r="Q132" s="5">
        <v>20</v>
      </c>
      <c r="R132" s="5">
        <v>36.99</v>
      </c>
      <c r="S132" s="5">
        <v>77.650000000000006</v>
      </c>
      <c r="T132" s="5">
        <v>19.32</v>
      </c>
      <c r="U132" s="5">
        <v>56.82</v>
      </c>
      <c r="V132" s="5">
        <v>30.77</v>
      </c>
      <c r="W132" s="5">
        <v>53.85</v>
      </c>
      <c r="X132" s="5">
        <v>30.77</v>
      </c>
      <c r="Y132" s="5">
        <v>35.159999999999997</v>
      </c>
      <c r="Z132" s="5">
        <v>40</v>
      </c>
      <c r="AA132" s="5">
        <v>17.75</v>
      </c>
      <c r="AB132" s="5">
        <v>37.54</v>
      </c>
      <c r="AC132" s="5">
        <v>85.71</v>
      </c>
      <c r="AD132" s="5">
        <v>42.28</v>
      </c>
      <c r="AE132" s="5">
        <v>45.52</v>
      </c>
      <c r="AF132" s="5">
        <v>70.67</v>
      </c>
      <c r="AG132" s="5">
        <v>54.16</v>
      </c>
      <c r="AH132" s="5">
        <v>99.73</v>
      </c>
      <c r="AI132" s="5">
        <v>66.8</v>
      </c>
      <c r="AJ132" s="5">
        <v>87.5</v>
      </c>
      <c r="AK132" s="5">
        <v>84.32</v>
      </c>
      <c r="AL132" s="5">
        <v>78.790000000000006</v>
      </c>
      <c r="AM132" s="5">
        <v>29.3</v>
      </c>
      <c r="AN132" s="5">
        <v>81.97</v>
      </c>
      <c r="AO132" s="5">
        <v>28.74</v>
      </c>
      <c r="AP132" s="5">
        <v>1</v>
      </c>
      <c r="AQ132" t="str">
        <f>IF(COUNTIF([1]Country_Classifications!$B$2:$B$40, $A132)&gt;0, "Africa", "Others")</f>
        <v>Others</v>
      </c>
    </row>
    <row r="133" spans="1:43" ht="15.75" hidden="1" customHeight="1" x14ac:dyDescent="0.35">
      <c r="A133" s="3" t="s">
        <v>228</v>
      </c>
      <c r="B133" s="4" t="s">
        <v>229</v>
      </c>
      <c r="C133" s="5">
        <v>18.59</v>
      </c>
      <c r="D133" s="5">
        <v>18.59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15.38</v>
      </c>
      <c r="W133" s="5">
        <v>0</v>
      </c>
      <c r="X133" s="5">
        <v>0</v>
      </c>
      <c r="Y133" s="5">
        <v>0</v>
      </c>
      <c r="Z133" s="5">
        <v>0</v>
      </c>
      <c r="AA133" s="5">
        <v>53.5</v>
      </c>
      <c r="AB133" s="5">
        <v>62.95</v>
      </c>
      <c r="AC133" s="5">
        <v>96.24</v>
      </c>
      <c r="AD133" s="5">
        <v>6.68</v>
      </c>
      <c r="AE133" s="5">
        <v>54.34</v>
      </c>
      <c r="AF133" s="5">
        <v>77.069999999999993</v>
      </c>
      <c r="AG133" s="5">
        <v>30.64</v>
      </c>
      <c r="AH133" s="5">
        <v>68.87</v>
      </c>
      <c r="AI133" s="5">
        <v>100</v>
      </c>
      <c r="AJ133" s="5">
        <v>87.5</v>
      </c>
      <c r="AK133" s="5">
        <v>95.07</v>
      </c>
      <c r="AL133" s="5">
        <v>70.19</v>
      </c>
      <c r="AM133" s="5">
        <v>69.760000000000005</v>
      </c>
      <c r="AN133" s="5">
        <v>81.3</v>
      </c>
      <c r="AO133" s="5">
        <v>44.27</v>
      </c>
      <c r="AP133" s="5">
        <v>1</v>
      </c>
      <c r="AQ133" t="str">
        <f>IF(COUNTIF([1]Country_Classifications!$B$2:$B$40, $A133)&gt;0, "Africa", "Others")</f>
        <v>Others</v>
      </c>
    </row>
    <row r="134" spans="1:43" ht="15.75" customHeight="1" x14ac:dyDescent="0.35">
      <c r="A134" s="3" t="s">
        <v>176</v>
      </c>
      <c r="B134" s="4" t="s">
        <v>177</v>
      </c>
      <c r="C134" s="5">
        <v>29.68</v>
      </c>
      <c r="D134" s="5">
        <v>29.68</v>
      </c>
      <c r="E134" s="5">
        <v>9.09</v>
      </c>
      <c r="F134" s="5">
        <v>0</v>
      </c>
      <c r="G134" s="5">
        <v>10.61</v>
      </c>
      <c r="H134" s="5">
        <v>11.36</v>
      </c>
      <c r="I134" s="5">
        <v>12.12</v>
      </c>
      <c r="J134" s="5">
        <v>9.85</v>
      </c>
      <c r="K134" s="5">
        <v>0</v>
      </c>
      <c r="L134" s="5">
        <v>0</v>
      </c>
      <c r="M134" s="5">
        <v>18.940000000000001</v>
      </c>
      <c r="N134" s="5">
        <v>10.61</v>
      </c>
      <c r="O134" s="5">
        <v>9.66</v>
      </c>
      <c r="P134" s="5">
        <v>64.09</v>
      </c>
      <c r="Q134" s="5">
        <v>0</v>
      </c>
      <c r="R134" s="5">
        <v>18.18</v>
      </c>
      <c r="S134" s="5">
        <v>18.940000000000001</v>
      </c>
      <c r="T134" s="5">
        <v>0</v>
      </c>
      <c r="U134" s="5">
        <v>0</v>
      </c>
      <c r="V134" s="5">
        <v>69.23</v>
      </c>
      <c r="W134" s="5">
        <v>46.15</v>
      </c>
      <c r="X134" s="5">
        <v>51.28</v>
      </c>
      <c r="Y134" s="5">
        <v>21.98</v>
      </c>
      <c r="Z134" s="5">
        <v>30</v>
      </c>
      <c r="AA134" s="5">
        <v>60.63</v>
      </c>
      <c r="AB134" s="5">
        <v>41.38</v>
      </c>
      <c r="AC134" s="5">
        <v>93.75</v>
      </c>
      <c r="AD134" s="5">
        <v>15.66</v>
      </c>
      <c r="AE134" s="5">
        <v>53.51</v>
      </c>
      <c r="AF134" s="5">
        <v>80.27</v>
      </c>
      <c r="AG134" s="5">
        <v>58.65</v>
      </c>
      <c r="AH134" s="5">
        <v>85.56</v>
      </c>
      <c r="AI134" s="5">
        <v>83.4</v>
      </c>
      <c r="AJ134" s="5">
        <v>87.5</v>
      </c>
      <c r="AK134" s="5">
        <v>95.97</v>
      </c>
      <c r="AL134" s="5">
        <v>50</v>
      </c>
      <c r="AM134" s="5">
        <v>80.680000000000007</v>
      </c>
      <c r="AN134" s="5">
        <v>64.91</v>
      </c>
      <c r="AO134" s="5">
        <v>45.91</v>
      </c>
      <c r="AP134" s="5">
        <v>1</v>
      </c>
      <c r="AQ134" t="str">
        <f>IF(COUNTIF([1]Country_Classifications!$B$2:$B$40, $A134)&gt;0, "Africa", "Others")</f>
        <v>Africa</v>
      </c>
    </row>
    <row r="135" spans="1:43" ht="15.75" customHeight="1" x14ac:dyDescent="0.35">
      <c r="A135" s="3" t="s">
        <v>180</v>
      </c>
      <c r="B135" s="4" t="s">
        <v>181</v>
      </c>
      <c r="C135" s="5">
        <v>29.12</v>
      </c>
      <c r="D135" s="5">
        <v>29.12</v>
      </c>
      <c r="E135" s="5">
        <v>0</v>
      </c>
      <c r="F135" s="5">
        <v>0</v>
      </c>
      <c r="G135" s="5">
        <v>0</v>
      </c>
      <c r="H135" s="5">
        <v>64.77</v>
      </c>
      <c r="I135" s="5">
        <v>9.09</v>
      </c>
      <c r="J135" s="5">
        <v>63.26</v>
      </c>
      <c r="K135" s="5">
        <v>0</v>
      </c>
      <c r="L135" s="5">
        <v>0</v>
      </c>
      <c r="M135" s="5">
        <v>63.26</v>
      </c>
      <c r="N135" s="5">
        <v>74.62</v>
      </c>
      <c r="O135" s="5">
        <v>0</v>
      </c>
      <c r="P135" s="5">
        <v>0</v>
      </c>
      <c r="Q135" s="5">
        <v>65.150000000000006</v>
      </c>
      <c r="R135" s="5">
        <v>0</v>
      </c>
      <c r="S135" s="5">
        <v>9.09</v>
      </c>
      <c r="T135" s="5">
        <v>0</v>
      </c>
      <c r="U135" s="5">
        <v>0</v>
      </c>
      <c r="V135" s="5">
        <v>15.38</v>
      </c>
      <c r="W135" s="5">
        <v>0</v>
      </c>
      <c r="X135" s="5">
        <v>20.51</v>
      </c>
      <c r="Y135" s="5">
        <v>13.19</v>
      </c>
      <c r="Z135" s="5">
        <v>37.5</v>
      </c>
      <c r="AA135" s="5">
        <v>30.19</v>
      </c>
      <c r="AB135" s="5">
        <v>15.07</v>
      </c>
      <c r="AC135" s="5">
        <v>54</v>
      </c>
      <c r="AD135" s="5">
        <v>87.47</v>
      </c>
      <c r="AE135" s="5">
        <v>39.57</v>
      </c>
      <c r="AF135" s="5">
        <v>57.33</v>
      </c>
      <c r="AG135" s="5">
        <v>13.49</v>
      </c>
      <c r="AH135" s="5">
        <v>92.21</v>
      </c>
      <c r="AI135" s="5">
        <v>75</v>
      </c>
      <c r="AJ135" s="5">
        <v>37.5</v>
      </c>
      <c r="AK135" s="5">
        <v>81.36</v>
      </c>
      <c r="AL135" s="5">
        <v>69.92</v>
      </c>
      <c r="AM135" s="5">
        <v>75.5</v>
      </c>
      <c r="AN135" s="5">
        <v>60.98</v>
      </c>
      <c r="AO135" s="5">
        <v>25.73</v>
      </c>
      <c r="AP135" s="5">
        <v>1</v>
      </c>
      <c r="AQ135" t="str">
        <f>IF(COUNTIF([1]Country_Classifications!$B$2:$B$40, $A135)&gt;0, "Africa", "Others")</f>
        <v>Africa</v>
      </c>
    </row>
    <row r="136" spans="1:43" ht="15.75" customHeight="1" x14ac:dyDescent="0.35">
      <c r="A136" s="3" t="s">
        <v>248</v>
      </c>
      <c r="B136" s="4" t="s">
        <v>249</v>
      </c>
      <c r="C136" s="5">
        <v>15.18</v>
      </c>
      <c r="D136" s="5">
        <v>15.18</v>
      </c>
      <c r="E136" s="5">
        <v>9.09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9.09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46.15</v>
      </c>
      <c r="X136" s="5">
        <v>0</v>
      </c>
      <c r="Y136" s="5">
        <v>30.77</v>
      </c>
      <c r="Z136" s="5">
        <v>0</v>
      </c>
      <c r="AA136" s="5">
        <v>14.37</v>
      </c>
      <c r="AB136" s="5">
        <v>19.399999999999999</v>
      </c>
      <c r="AC136" s="5">
        <v>100</v>
      </c>
      <c r="AD136" s="5">
        <v>57.12</v>
      </c>
      <c r="AE136" s="5">
        <v>23.94</v>
      </c>
      <c r="AF136" s="5">
        <v>55.2</v>
      </c>
      <c r="AG136" s="5">
        <v>30</v>
      </c>
      <c r="AH136" s="5">
        <v>36.86</v>
      </c>
      <c r="AI136" s="5">
        <v>58.4</v>
      </c>
      <c r="AJ136" s="5">
        <v>0</v>
      </c>
      <c r="AK136" s="5">
        <v>72.67</v>
      </c>
      <c r="AL136" s="5">
        <v>55.7</v>
      </c>
      <c r="AM136" s="5">
        <v>41.03</v>
      </c>
      <c r="AN136" s="5">
        <v>75.62</v>
      </c>
      <c r="AO136" s="5">
        <v>11.67</v>
      </c>
      <c r="AP136" s="5">
        <v>1</v>
      </c>
      <c r="AQ136" t="str">
        <f>IF(COUNTIF([1]Country_Classifications!$B$2:$B$40, $A136)&gt;0, "Africa", "Others")</f>
        <v>Africa</v>
      </c>
    </row>
    <row r="137" spans="1:43" ht="15.75" customHeight="1" x14ac:dyDescent="0.35">
      <c r="A137" s="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3" ht="15.75" customHeight="1" x14ac:dyDescent="0.35">
      <c r="A138" s="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3" ht="15.75" customHeight="1" x14ac:dyDescent="0.35">
      <c r="A139" s="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3" ht="15.75" customHeight="1" x14ac:dyDescent="0.35">
      <c r="A140" s="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3" ht="15.75" customHeight="1" x14ac:dyDescent="0.35">
      <c r="A141" s="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3" ht="15.75" customHeight="1" x14ac:dyDescent="0.35">
      <c r="A142" s="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3" ht="15.75" customHeight="1" x14ac:dyDescent="0.35">
      <c r="A143" s="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3" ht="15.75" customHeight="1" x14ac:dyDescent="0.35">
      <c r="A144" s="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ht="15.75" customHeight="1" x14ac:dyDescent="0.35">
      <c r="A145" s="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ht="15.75" customHeight="1" x14ac:dyDescent="0.35">
      <c r="A146" s="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ht="15.75" customHeight="1" x14ac:dyDescent="0.35">
      <c r="A147" s="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ht="15.75" customHeight="1" x14ac:dyDescent="0.35">
      <c r="A148" s="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ht="15.75" customHeight="1" x14ac:dyDescent="0.35">
      <c r="A149" s="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ht="15.75" customHeight="1" x14ac:dyDescent="0.35">
      <c r="A150" s="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ht="15.75" customHeight="1" x14ac:dyDescent="0.35">
      <c r="A151" s="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ht="15.75" customHeight="1" x14ac:dyDescent="0.35">
      <c r="A152" s="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ht="15.75" customHeight="1" x14ac:dyDescent="0.35">
      <c r="A153" s="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ht="15.75" customHeight="1" x14ac:dyDescent="0.35">
      <c r="A154" s="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ht="15.75" customHeight="1" x14ac:dyDescent="0.35">
      <c r="A155" s="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ht="15.75" customHeight="1" x14ac:dyDescent="0.35">
      <c r="A156" s="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ht="15.75" customHeight="1" x14ac:dyDescent="0.35">
      <c r="A157" s="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ht="15.75" customHeight="1" x14ac:dyDescent="0.35">
      <c r="A158" s="3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ht="15.75" customHeight="1" x14ac:dyDescent="0.35">
      <c r="A159" s="3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ht="15.75" customHeight="1" x14ac:dyDescent="0.35">
      <c r="A160" s="3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ht="15.75" customHeight="1" x14ac:dyDescent="0.35">
      <c r="A161" s="3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ht="15.75" customHeight="1" x14ac:dyDescent="0.35">
      <c r="A162" s="3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ht="15.75" customHeight="1" x14ac:dyDescent="0.35">
      <c r="A163" s="3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ht="15.75" customHeight="1" x14ac:dyDescent="0.35">
      <c r="A164" s="3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ht="15.75" customHeight="1" x14ac:dyDescent="0.35">
      <c r="A165" s="3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ht="15.75" customHeight="1" x14ac:dyDescent="0.35">
      <c r="A166" s="3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ht="15.75" customHeight="1" x14ac:dyDescent="0.35">
      <c r="A167" s="3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ht="15.75" customHeight="1" x14ac:dyDescent="0.35">
      <c r="A168" s="3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ht="15.75" customHeight="1" x14ac:dyDescent="0.35">
      <c r="A169" s="3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ht="15.75" customHeight="1" x14ac:dyDescent="0.35">
      <c r="A170" s="3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ht="15.75" customHeight="1" x14ac:dyDescent="0.35">
      <c r="A171" s="3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ht="15.75" customHeight="1" x14ac:dyDescent="0.35">
      <c r="A172" s="3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ht="15.75" customHeight="1" x14ac:dyDescent="0.35">
      <c r="A173" s="3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ht="15.75" customHeight="1" x14ac:dyDescent="0.35">
      <c r="A174" s="3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ht="15.75" customHeight="1" x14ac:dyDescent="0.35">
      <c r="A175" s="3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ht="15.75" customHeight="1" x14ac:dyDescent="0.35">
      <c r="A176" s="3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ht="15.75" customHeight="1" x14ac:dyDescent="0.35">
      <c r="A177" s="3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ht="15.75" customHeight="1" x14ac:dyDescent="0.35">
      <c r="A178" s="3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ht="15.75" customHeight="1" x14ac:dyDescent="0.35">
      <c r="A179" s="3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ht="15.75" customHeight="1" x14ac:dyDescent="0.35">
      <c r="A180" s="3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ht="15.75" customHeight="1" x14ac:dyDescent="0.35">
      <c r="A181" s="3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ht="15.75" customHeight="1" x14ac:dyDescent="0.35">
      <c r="A182" s="3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ht="15.75" customHeight="1" x14ac:dyDescent="0.35">
      <c r="A183" s="3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ht="15.75" customHeight="1" x14ac:dyDescent="0.35">
      <c r="A184" s="3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ht="15.75" customHeight="1" x14ac:dyDescent="0.35">
      <c r="A185" s="3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ht="15.75" customHeight="1" x14ac:dyDescent="0.35">
      <c r="A186" s="3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ht="15.75" customHeight="1" x14ac:dyDescent="0.35">
      <c r="A187" s="3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ht="15.75" customHeight="1" x14ac:dyDescent="0.35">
      <c r="A188" s="3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ht="15.75" customHeight="1" x14ac:dyDescent="0.35">
      <c r="A189" s="3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ht="15.75" customHeight="1" x14ac:dyDescent="0.35">
      <c r="A190" s="3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ht="15.75" customHeight="1" x14ac:dyDescent="0.35">
      <c r="A191" s="3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ht="15.75" customHeight="1" x14ac:dyDescent="0.35">
      <c r="A192" s="3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ht="15.75" customHeight="1" x14ac:dyDescent="0.35">
      <c r="A193" s="3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ht="15.75" customHeight="1" x14ac:dyDescent="0.35">
      <c r="A194" s="3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ht="15.75" customHeight="1" x14ac:dyDescent="0.35">
      <c r="A195" s="3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ht="15.75" customHeight="1" x14ac:dyDescent="0.35">
      <c r="A196" s="3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ht="15.75" customHeight="1" x14ac:dyDescent="0.35">
      <c r="A197" s="3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ht="15.75" customHeight="1" x14ac:dyDescent="0.35">
      <c r="A198" s="3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ht="15.75" customHeight="1" x14ac:dyDescent="0.35">
      <c r="A199" s="3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ht="15.75" customHeight="1" x14ac:dyDescent="0.35">
      <c r="A200" s="3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ht="15.75" customHeight="1" x14ac:dyDescent="0.35">
      <c r="A201" s="3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ht="15.75" customHeight="1" x14ac:dyDescent="0.35">
      <c r="A202" s="3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ht="15.75" customHeight="1" x14ac:dyDescent="0.35">
      <c r="A203" s="3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ht="15.75" customHeight="1" x14ac:dyDescent="0.35">
      <c r="A204" s="3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ht="15.75" customHeight="1" x14ac:dyDescent="0.35">
      <c r="A205" s="3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ht="15.75" customHeight="1" x14ac:dyDescent="0.35">
      <c r="A206" s="3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ht="15.75" customHeight="1" x14ac:dyDescent="0.35">
      <c r="A207" s="3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ht="15.75" customHeight="1" x14ac:dyDescent="0.35">
      <c r="A208" s="3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ht="15.75" customHeight="1" x14ac:dyDescent="0.35">
      <c r="A209" s="3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ht="15.75" customHeight="1" x14ac:dyDescent="0.35">
      <c r="A210" s="3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ht="15.75" customHeight="1" x14ac:dyDescent="0.35">
      <c r="A211" s="3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ht="15.75" customHeight="1" x14ac:dyDescent="0.35">
      <c r="A212" s="3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ht="15.75" customHeight="1" x14ac:dyDescent="0.35">
      <c r="A213" s="3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ht="15.75" customHeight="1" x14ac:dyDescent="0.35">
      <c r="A214" s="3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ht="15.75" customHeight="1" x14ac:dyDescent="0.35">
      <c r="A215" s="3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ht="15.75" customHeight="1" x14ac:dyDescent="0.35">
      <c r="A216" s="3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ht="15.75" customHeight="1" x14ac:dyDescent="0.35">
      <c r="A217" s="3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ht="15.75" customHeight="1" x14ac:dyDescent="0.35">
      <c r="A218" s="3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ht="15.75" customHeight="1" x14ac:dyDescent="0.35">
      <c r="A219" s="3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ht="15.75" customHeight="1" x14ac:dyDescent="0.35">
      <c r="A220" s="3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ht="15.75" customHeight="1" x14ac:dyDescent="0.35">
      <c r="A221" s="3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ht="15.75" customHeight="1" x14ac:dyDescent="0.35">
      <c r="A222" s="3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ht="15.75" customHeight="1" x14ac:dyDescent="0.35">
      <c r="A223" s="3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ht="15.75" customHeight="1" x14ac:dyDescent="0.35">
      <c r="A224" s="3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ht="15.75" customHeight="1" x14ac:dyDescent="0.35">
      <c r="A225" s="3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ht="15.75" customHeight="1" x14ac:dyDescent="0.35">
      <c r="A226" s="3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ht="15.75" customHeight="1" x14ac:dyDescent="0.35">
      <c r="A227" s="3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ht="15.75" customHeight="1" x14ac:dyDescent="0.35">
      <c r="A228" s="3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ht="15.75" customHeight="1" x14ac:dyDescent="0.35">
      <c r="A229" s="3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ht="15.75" customHeight="1" x14ac:dyDescent="0.35">
      <c r="A230" s="3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ht="15.75" customHeight="1" x14ac:dyDescent="0.35">
      <c r="A231" s="3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ht="15.75" customHeight="1" x14ac:dyDescent="0.35">
      <c r="A232" s="3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ht="15.75" customHeight="1" x14ac:dyDescent="0.35">
      <c r="A233" s="3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ht="15.75" customHeight="1" x14ac:dyDescent="0.35">
      <c r="A234" s="3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ht="15.75" customHeight="1" x14ac:dyDescent="0.35">
      <c r="A235" s="3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ht="15.75" customHeight="1" x14ac:dyDescent="0.35">
      <c r="A236" s="3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ht="15.75" customHeight="1" x14ac:dyDescent="0.35">
      <c r="A237" s="3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ht="15.75" customHeight="1" x14ac:dyDescent="0.35">
      <c r="A238" s="3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ht="15.75" customHeight="1" x14ac:dyDescent="0.35">
      <c r="A239" s="3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ht="15.75" customHeight="1" x14ac:dyDescent="0.35">
      <c r="A240" s="3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ht="15.75" customHeight="1" x14ac:dyDescent="0.35">
      <c r="A241" s="3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ht="15.75" customHeight="1" x14ac:dyDescent="0.35">
      <c r="A242" s="3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ht="15.75" customHeight="1" x14ac:dyDescent="0.35">
      <c r="A243" s="3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ht="15.75" customHeight="1" x14ac:dyDescent="0.35">
      <c r="A244" s="3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ht="15.75" customHeight="1" x14ac:dyDescent="0.35">
      <c r="A245" s="3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ht="15.75" customHeight="1" x14ac:dyDescent="0.35">
      <c r="A246" s="3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ht="15.75" customHeight="1" x14ac:dyDescent="0.35">
      <c r="A247" s="3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ht="15.75" customHeight="1" x14ac:dyDescent="0.35">
      <c r="A248" s="3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ht="15.75" customHeight="1" x14ac:dyDescent="0.35">
      <c r="A249" s="3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ht="15.75" customHeight="1" x14ac:dyDescent="0.35">
      <c r="A250" s="3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ht="15.75" customHeight="1" x14ac:dyDescent="0.35">
      <c r="A251" s="3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ht="15.75" customHeight="1" x14ac:dyDescent="0.35">
      <c r="A252" s="3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ht="15.75" customHeight="1" x14ac:dyDescent="0.35">
      <c r="A253" s="3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ht="15.75" customHeight="1" x14ac:dyDescent="0.35">
      <c r="A254" s="3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ht="15.75" customHeight="1" x14ac:dyDescent="0.35">
      <c r="A255" s="3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ht="15.75" customHeight="1" x14ac:dyDescent="0.35">
      <c r="A256" s="3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ht="15.75" customHeight="1" x14ac:dyDescent="0.35">
      <c r="A257" s="3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ht="15.75" customHeight="1" x14ac:dyDescent="0.35">
      <c r="A258" s="3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ht="15.75" customHeight="1" x14ac:dyDescent="0.35">
      <c r="A259" s="3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ht="15.75" customHeight="1" x14ac:dyDescent="0.35">
      <c r="A260" s="3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ht="15.75" customHeight="1" x14ac:dyDescent="0.35">
      <c r="A261" s="3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ht="15.75" customHeight="1" x14ac:dyDescent="0.35">
      <c r="A262" s="3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ht="15.75" customHeight="1" x14ac:dyDescent="0.35">
      <c r="A263" s="3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ht="15.75" customHeight="1" x14ac:dyDescent="0.35">
      <c r="A264" s="3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ht="15.75" customHeight="1" x14ac:dyDescent="0.35">
      <c r="A265" s="3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ht="15.75" customHeight="1" x14ac:dyDescent="0.35">
      <c r="A266" s="3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ht="15.75" customHeight="1" x14ac:dyDescent="0.35">
      <c r="A267" s="3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ht="15.75" customHeight="1" x14ac:dyDescent="0.35">
      <c r="A268" s="3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ht="15.75" customHeight="1" x14ac:dyDescent="0.35">
      <c r="A269" s="3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ht="15.75" customHeight="1" x14ac:dyDescent="0.35">
      <c r="A270" s="3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ht="15.75" customHeight="1" x14ac:dyDescent="0.35">
      <c r="A271" s="3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ht="15.75" customHeight="1" x14ac:dyDescent="0.35">
      <c r="A272" s="3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ht="15.75" customHeight="1" x14ac:dyDescent="0.35">
      <c r="A273" s="3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ht="15.75" customHeight="1" x14ac:dyDescent="0.35">
      <c r="A274" s="3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ht="15.75" customHeight="1" x14ac:dyDescent="0.35">
      <c r="A275" s="3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ht="15.75" customHeight="1" x14ac:dyDescent="0.35">
      <c r="A276" s="3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ht="15.75" customHeight="1" x14ac:dyDescent="0.35">
      <c r="A277" s="3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ht="15.75" customHeight="1" x14ac:dyDescent="0.35">
      <c r="A278" s="3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ht="15.75" customHeight="1" x14ac:dyDescent="0.35">
      <c r="A279" s="3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ht="15.75" customHeight="1" x14ac:dyDescent="0.35">
      <c r="A280" s="3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ht="15.75" customHeight="1" x14ac:dyDescent="0.35">
      <c r="A281" s="3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ht="15.75" customHeight="1" x14ac:dyDescent="0.35">
      <c r="A282" s="3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ht="15.75" customHeight="1" x14ac:dyDescent="0.35">
      <c r="A283" s="3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ht="15.75" customHeight="1" x14ac:dyDescent="0.35">
      <c r="A284" s="3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ht="15.75" customHeight="1" x14ac:dyDescent="0.35">
      <c r="A285" s="3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ht="15.75" customHeight="1" x14ac:dyDescent="0.35">
      <c r="A286" s="3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ht="15.75" customHeight="1" x14ac:dyDescent="0.35">
      <c r="A287" s="3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ht="15.75" customHeight="1" x14ac:dyDescent="0.35">
      <c r="A288" s="3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ht="15.75" customHeight="1" x14ac:dyDescent="0.35">
      <c r="A289" s="3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ht="15.75" customHeight="1" x14ac:dyDescent="0.35">
      <c r="A290" s="3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ht="15.75" customHeight="1" x14ac:dyDescent="0.35">
      <c r="A291" s="3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ht="15.75" customHeight="1" x14ac:dyDescent="0.35">
      <c r="A292" s="3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ht="15.75" customHeight="1" x14ac:dyDescent="0.35">
      <c r="A293" s="3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ht="15.75" customHeight="1" x14ac:dyDescent="0.35">
      <c r="A294" s="3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ht="15.75" customHeight="1" x14ac:dyDescent="0.35">
      <c r="A295" s="3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ht="15.75" customHeight="1" x14ac:dyDescent="0.35">
      <c r="A296" s="3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ht="15.75" customHeight="1" x14ac:dyDescent="0.35">
      <c r="A297" s="3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ht="15.75" customHeight="1" x14ac:dyDescent="0.35">
      <c r="A298" s="3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ht="15.75" customHeight="1" x14ac:dyDescent="0.35">
      <c r="A299" s="3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ht="15.75" customHeight="1" x14ac:dyDescent="0.35">
      <c r="A300" s="3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ht="15.75" customHeight="1" x14ac:dyDescent="0.35">
      <c r="A301" s="3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ht="15.75" customHeight="1" x14ac:dyDescent="0.35">
      <c r="A302" s="3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ht="15.75" customHeight="1" x14ac:dyDescent="0.35">
      <c r="A303" s="3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ht="15.75" customHeight="1" x14ac:dyDescent="0.35">
      <c r="A304" s="3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ht="15.75" customHeight="1" x14ac:dyDescent="0.35">
      <c r="A305" s="3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ht="15.75" customHeight="1" x14ac:dyDescent="0.35">
      <c r="A306" s="3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ht="15.75" customHeight="1" x14ac:dyDescent="0.35">
      <c r="A307" s="3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ht="15.75" customHeight="1" x14ac:dyDescent="0.35">
      <c r="A308" s="3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ht="15.75" customHeight="1" x14ac:dyDescent="0.35">
      <c r="A309" s="3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ht="15.75" customHeight="1" x14ac:dyDescent="0.35">
      <c r="A310" s="3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ht="15.75" customHeight="1" x14ac:dyDescent="0.35">
      <c r="A311" s="3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ht="15.75" customHeight="1" x14ac:dyDescent="0.35">
      <c r="A312" s="3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ht="15.75" customHeight="1" x14ac:dyDescent="0.35">
      <c r="A313" s="3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ht="15.75" customHeight="1" x14ac:dyDescent="0.35">
      <c r="A314" s="3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ht="15.75" customHeight="1" x14ac:dyDescent="0.35">
      <c r="A315" s="3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ht="15.75" customHeight="1" x14ac:dyDescent="0.35">
      <c r="A316" s="3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ht="15.75" customHeight="1" x14ac:dyDescent="0.35">
      <c r="A317" s="3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ht="15.75" customHeight="1" x14ac:dyDescent="0.35">
      <c r="A318" s="3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ht="15.75" customHeight="1" x14ac:dyDescent="0.35">
      <c r="A319" s="3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ht="15.75" customHeight="1" x14ac:dyDescent="0.35">
      <c r="A320" s="3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ht="15.75" customHeight="1" x14ac:dyDescent="0.35">
      <c r="A321" s="3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ht="15.75" customHeight="1" x14ac:dyDescent="0.35">
      <c r="A322" s="3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ht="15.75" customHeight="1" x14ac:dyDescent="0.35">
      <c r="A323" s="3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ht="15.75" customHeight="1" x14ac:dyDescent="0.35">
      <c r="A324" s="3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ht="15.75" customHeight="1" x14ac:dyDescent="0.35">
      <c r="A325" s="3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ht="15.75" customHeight="1" x14ac:dyDescent="0.35">
      <c r="A326" s="3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ht="15.75" customHeight="1" x14ac:dyDescent="0.35">
      <c r="A327" s="3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ht="15.75" customHeight="1" x14ac:dyDescent="0.35">
      <c r="A328" s="3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ht="15.75" customHeight="1" x14ac:dyDescent="0.35">
      <c r="A329" s="3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ht="15.75" customHeight="1" x14ac:dyDescent="0.35">
      <c r="A330" s="3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ht="15.75" customHeight="1" x14ac:dyDescent="0.35">
      <c r="A331" s="3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ht="15.75" customHeight="1" x14ac:dyDescent="0.35">
      <c r="A332" s="3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ht="15.75" customHeight="1" x14ac:dyDescent="0.35">
      <c r="A333" s="3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ht="15.75" customHeight="1" x14ac:dyDescent="0.35">
      <c r="A334" s="3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ht="15.75" customHeight="1" x14ac:dyDescent="0.35">
      <c r="A335" s="3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ht="15.75" customHeight="1" x14ac:dyDescent="0.35">
      <c r="A336" s="3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ht="15.75" customHeight="1" x14ac:dyDescent="0.35">
      <c r="A337" s="3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ht="15.75" customHeight="1" x14ac:dyDescent="0.35">
      <c r="A338" s="3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ht="15.75" customHeight="1" x14ac:dyDescent="0.35">
      <c r="A339" s="3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ht="15.75" customHeight="1" x14ac:dyDescent="0.35">
      <c r="A340" s="3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ht="15.75" customHeight="1" x14ac:dyDescent="0.35">
      <c r="A341" s="3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ht="15.75" customHeight="1" x14ac:dyDescent="0.35">
      <c r="A342" s="3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ht="15.75" customHeight="1" x14ac:dyDescent="0.35">
      <c r="A343" s="3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ht="15.75" customHeight="1" x14ac:dyDescent="0.35">
      <c r="A344" s="3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ht="15.75" customHeight="1" x14ac:dyDescent="0.35">
      <c r="A345" s="3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ht="15.75" customHeight="1" x14ac:dyDescent="0.35">
      <c r="A346" s="3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ht="15.75" customHeight="1" x14ac:dyDescent="0.35">
      <c r="A347" s="3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ht="15.75" customHeight="1" x14ac:dyDescent="0.35">
      <c r="A348" s="3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ht="15.75" customHeight="1" x14ac:dyDescent="0.35">
      <c r="A349" s="3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ht="15.75" customHeight="1" x14ac:dyDescent="0.35">
      <c r="A350" s="3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ht="15.75" customHeight="1" x14ac:dyDescent="0.35">
      <c r="A351" s="3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ht="15.75" customHeight="1" x14ac:dyDescent="0.35">
      <c r="A352" s="3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ht="15.75" customHeight="1" x14ac:dyDescent="0.35">
      <c r="A353" s="3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ht="15.75" customHeight="1" x14ac:dyDescent="0.35">
      <c r="A354" s="3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ht="15.75" customHeight="1" x14ac:dyDescent="0.35">
      <c r="A355" s="3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ht="15.75" customHeight="1" x14ac:dyDescent="0.35">
      <c r="A356" s="3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ht="15.75" customHeight="1" x14ac:dyDescent="0.35">
      <c r="A357" s="3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ht="15.75" customHeight="1" x14ac:dyDescent="0.35">
      <c r="A358" s="3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ht="15.75" customHeight="1" x14ac:dyDescent="0.35">
      <c r="A359" s="3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ht="15.75" customHeight="1" x14ac:dyDescent="0.35">
      <c r="A360" s="3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ht="15.75" customHeight="1" x14ac:dyDescent="0.35">
      <c r="A361" s="3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ht="15.75" customHeight="1" x14ac:dyDescent="0.35">
      <c r="A362" s="3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ht="15.75" customHeight="1" x14ac:dyDescent="0.35">
      <c r="A363" s="3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ht="15.75" customHeight="1" x14ac:dyDescent="0.35">
      <c r="A364" s="3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ht="15.75" customHeight="1" x14ac:dyDescent="0.35">
      <c r="A365" s="3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ht="15.75" customHeight="1" x14ac:dyDescent="0.35">
      <c r="A366" s="3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ht="15.75" customHeight="1" x14ac:dyDescent="0.35">
      <c r="A367" s="3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ht="15.75" customHeight="1" x14ac:dyDescent="0.35">
      <c r="A368" s="3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ht="15.75" customHeight="1" x14ac:dyDescent="0.35">
      <c r="A369" s="3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ht="15.75" customHeight="1" x14ac:dyDescent="0.35">
      <c r="A370" s="3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ht="15.75" customHeight="1" x14ac:dyDescent="0.35">
      <c r="A371" s="3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ht="15.75" customHeight="1" x14ac:dyDescent="0.35">
      <c r="A372" s="3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ht="15.75" customHeight="1" x14ac:dyDescent="0.35">
      <c r="A373" s="3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ht="15.75" customHeight="1" x14ac:dyDescent="0.35">
      <c r="A374" s="3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ht="15.75" customHeight="1" x14ac:dyDescent="0.35">
      <c r="A375" s="3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ht="15.75" customHeight="1" x14ac:dyDescent="0.35">
      <c r="A376" s="3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ht="15.75" customHeight="1" x14ac:dyDescent="0.35">
      <c r="A377" s="3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ht="15.75" customHeight="1" x14ac:dyDescent="0.35">
      <c r="A378" s="3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ht="15.75" customHeight="1" x14ac:dyDescent="0.35">
      <c r="A379" s="3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ht="15.75" customHeight="1" x14ac:dyDescent="0.35">
      <c r="A380" s="3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ht="15.75" customHeight="1" x14ac:dyDescent="0.35">
      <c r="A381" s="3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ht="15.75" customHeight="1" x14ac:dyDescent="0.35">
      <c r="A382" s="3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ht="15.75" customHeight="1" x14ac:dyDescent="0.35">
      <c r="A383" s="3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ht="15.75" customHeight="1" x14ac:dyDescent="0.35">
      <c r="A384" s="3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ht="15.75" customHeight="1" x14ac:dyDescent="0.35">
      <c r="A385" s="3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ht="15.75" customHeight="1" x14ac:dyDescent="0.35">
      <c r="A386" s="3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ht="15.75" customHeight="1" x14ac:dyDescent="0.35">
      <c r="A387" s="3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ht="15.75" customHeight="1" x14ac:dyDescent="0.35">
      <c r="A388" s="3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ht="15.75" customHeight="1" x14ac:dyDescent="0.35">
      <c r="A389" s="3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ht="15.75" customHeight="1" x14ac:dyDescent="0.35">
      <c r="A390" s="3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ht="15.75" customHeight="1" x14ac:dyDescent="0.35">
      <c r="A391" s="3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ht="15.75" customHeight="1" x14ac:dyDescent="0.35">
      <c r="A392" s="3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ht="15.75" customHeight="1" x14ac:dyDescent="0.35">
      <c r="A393" s="3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ht="15.75" customHeight="1" x14ac:dyDescent="0.35">
      <c r="A394" s="3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ht="15.75" customHeight="1" x14ac:dyDescent="0.35">
      <c r="A395" s="3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ht="15.75" customHeight="1" x14ac:dyDescent="0.35">
      <c r="A396" s="3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ht="15.75" customHeight="1" x14ac:dyDescent="0.35">
      <c r="A397" s="3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ht="15.75" customHeight="1" x14ac:dyDescent="0.35">
      <c r="A398" s="3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ht="15.75" customHeight="1" x14ac:dyDescent="0.35">
      <c r="A399" s="3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ht="15.75" customHeight="1" x14ac:dyDescent="0.35">
      <c r="A400" s="3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ht="15.75" customHeight="1" x14ac:dyDescent="0.35">
      <c r="A401" s="3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ht="15.75" customHeight="1" x14ac:dyDescent="0.35">
      <c r="A402" s="3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ht="15.75" customHeight="1" x14ac:dyDescent="0.35">
      <c r="A403" s="3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ht="15.75" customHeight="1" x14ac:dyDescent="0.35">
      <c r="A404" s="3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ht="15.75" customHeight="1" x14ac:dyDescent="0.35">
      <c r="A405" s="3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ht="15.75" customHeight="1" x14ac:dyDescent="0.35">
      <c r="A406" s="3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ht="15.75" customHeight="1" x14ac:dyDescent="0.35">
      <c r="A407" s="3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ht="15.75" customHeight="1" x14ac:dyDescent="0.35">
      <c r="A408" s="3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ht="15.75" customHeight="1" x14ac:dyDescent="0.35">
      <c r="A409" s="3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ht="15.75" customHeight="1" x14ac:dyDescent="0.35">
      <c r="A410" s="3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ht="15.75" customHeight="1" x14ac:dyDescent="0.35">
      <c r="A411" s="3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ht="15.75" customHeight="1" x14ac:dyDescent="0.35">
      <c r="A412" s="3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ht="15.75" customHeight="1" x14ac:dyDescent="0.35">
      <c r="A413" s="3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ht="15.75" customHeight="1" x14ac:dyDescent="0.35">
      <c r="A414" s="3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ht="15.75" customHeight="1" x14ac:dyDescent="0.35">
      <c r="A415" s="3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ht="15.75" customHeight="1" x14ac:dyDescent="0.35">
      <c r="A416" s="3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ht="15.75" customHeight="1" x14ac:dyDescent="0.35">
      <c r="A417" s="3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ht="15.75" customHeight="1" x14ac:dyDescent="0.35">
      <c r="A418" s="3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ht="15.75" customHeight="1" x14ac:dyDescent="0.35">
      <c r="A419" s="3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ht="15.75" customHeight="1" x14ac:dyDescent="0.35">
      <c r="A420" s="3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ht="15.75" customHeight="1" x14ac:dyDescent="0.35">
      <c r="A421" s="3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ht="15.75" customHeight="1" x14ac:dyDescent="0.35">
      <c r="A422" s="3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ht="15.75" customHeight="1" x14ac:dyDescent="0.35">
      <c r="A423" s="3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ht="15.75" customHeight="1" x14ac:dyDescent="0.35">
      <c r="A424" s="3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ht="15.75" customHeight="1" x14ac:dyDescent="0.35">
      <c r="A425" s="3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ht="15.75" customHeight="1" x14ac:dyDescent="0.35">
      <c r="A426" s="3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ht="15.75" customHeight="1" x14ac:dyDescent="0.35">
      <c r="A427" s="3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ht="15.75" customHeight="1" x14ac:dyDescent="0.35">
      <c r="A428" s="3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ht="15.75" customHeight="1" x14ac:dyDescent="0.35">
      <c r="A429" s="3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ht="15.75" customHeight="1" x14ac:dyDescent="0.35">
      <c r="A430" s="3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ht="15.75" customHeight="1" x14ac:dyDescent="0.35">
      <c r="A431" s="3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ht="15.75" customHeight="1" x14ac:dyDescent="0.35">
      <c r="A432" s="3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ht="15.75" customHeight="1" x14ac:dyDescent="0.35">
      <c r="A433" s="3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ht="15.75" customHeight="1" x14ac:dyDescent="0.35">
      <c r="A434" s="3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ht="15.75" customHeight="1" x14ac:dyDescent="0.35">
      <c r="A435" s="3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ht="15.75" customHeight="1" x14ac:dyDescent="0.35">
      <c r="A436" s="3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ht="15.75" customHeight="1" x14ac:dyDescent="0.35">
      <c r="A437" s="3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ht="15.75" customHeight="1" x14ac:dyDescent="0.35">
      <c r="A438" s="3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ht="15.75" customHeight="1" x14ac:dyDescent="0.35">
      <c r="A439" s="3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ht="15.75" customHeight="1" x14ac:dyDescent="0.35">
      <c r="A440" s="3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ht="15.75" customHeight="1" x14ac:dyDescent="0.35">
      <c r="A441" s="3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ht="15.75" customHeight="1" x14ac:dyDescent="0.35">
      <c r="A442" s="3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ht="15.75" customHeight="1" x14ac:dyDescent="0.35">
      <c r="A443" s="3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ht="15.75" customHeight="1" x14ac:dyDescent="0.35">
      <c r="A444" s="3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ht="15.75" customHeight="1" x14ac:dyDescent="0.35">
      <c r="A445" s="3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ht="15.75" customHeight="1" x14ac:dyDescent="0.35">
      <c r="A446" s="3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ht="15.75" customHeight="1" x14ac:dyDescent="0.35">
      <c r="A447" s="3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ht="15.75" customHeight="1" x14ac:dyDescent="0.35">
      <c r="A448" s="3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ht="15.75" customHeight="1" x14ac:dyDescent="0.35">
      <c r="A449" s="3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ht="15.75" customHeight="1" x14ac:dyDescent="0.35">
      <c r="A450" s="3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ht="15.75" customHeight="1" x14ac:dyDescent="0.35">
      <c r="A451" s="3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ht="15.75" customHeight="1" x14ac:dyDescent="0.35">
      <c r="A452" s="3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ht="15.75" customHeight="1" x14ac:dyDescent="0.35">
      <c r="A453" s="3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ht="15.75" customHeight="1" x14ac:dyDescent="0.35">
      <c r="A454" s="3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ht="15.75" customHeight="1" x14ac:dyDescent="0.35">
      <c r="A455" s="3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ht="15.75" customHeight="1" x14ac:dyDescent="0.35">
      <c r="A456" s="3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ht="15.75" customHeight="1" x14ac:dyDescent="0.35">
      <c r="A457" s="3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ht="15.75" customHeight="1" x14ac:dyDescent="0.35">
      <c r="A458" s="3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ht="15.75" customHeight="1" x14ac:dyDescent="0.35">
      <c r="A459" s="3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ht="15.75" customHeight="1" x14ac:dyDescent="0.35">
      <c r="A460" s="3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ht="15.75" customHeight="1" x14ac:dyDescent="0.35">
      <c r="A461" s="3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ht="15.75" customHeight="1" x14ac:dyDescent="0.35">
      <c r="A462" s="3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ht="15.75" customHeight="1" x14ac:dyDescent="0.35">
      <c r="A463" s="3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ht="15.75" customHeight="1" x14ac:dyDescent="0.35">
      <c r="A464" s="3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ht="15.75" customHeight="1" x14ac:dyDescent="0.35">
      <c r="A465" s="3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ht="15.75" customHeight="1" x14ac:dyDescent="0.35">
      <c r="A466" s="3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ht="15.75" customHeight="1" x14ac:dyDescent="0.35">
      <c r="A467" s="3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ht="15.75" customHeight="1" x14ac:dyDescent="0.35">
      <c r="A468" s="3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ht="15.75" customHeight="1" x14ac:dyDescent="0.35">
      <c r="A469" s="3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ht="15.75" customHeight="1" x14ac:dyDescent="0.35">
      <c r="A470" s="3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ht="15.75" customHeight="1" x14ac:dyDescent="0.35">
      <c r="A471" s="3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ht="15.75" customHeight="1" x14ac:dyDescent="0.35">
      <c r="A472" s="3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ht="15.75" customHeight="1" x14ac:dyDescent="0.35">
      <c r="A473" s="3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ht="15.75" customHeight="1" x14ac:dyDescent="0.35">
      <c r="A474" s="3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ht="15.75" customHeight="1" x14ac:dyDescent="0.35">
      <c r="A475" s="3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ht="15.75" customHeight="1" x14ac:dyDescent="0.35">
      <c r="A476" s="3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ht="15.75" customHeight="1" x14ac:dyDescent="0.35">
      <c r="A477" s="3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ht="15.75" customHeight="1" x14ac:dyDescent="0.35">
      <c r="A478" s="3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ht="15.75" customHeight="1" x14ac:dyDescent="0.35">
      <c r="A479" s="3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ht="15.75" customHeight="1" x14ac:dyDescent="0.35">
      <c r="A480" s="3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ht="15.75" customHeight="1" x14ac:dyDescent="0.35">
      <c r="A481" s="3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ht="15.75" customHeight="1" x14ac:dyDescent="0.35">
      <c r="A482" s="3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ht="15.75" customHeight="1" x14ac:dyDescent="0.35">
      <c r="A483" s="3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ht="15.75" customHeight="1" x14ac:dyDescent="0.35">
      <c r="A484" s="3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ht="15.75" customHeight="1" x14ac:dyDescent="0.35">
      <c r="A485" s="3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ht="15.75" customHeight="1" x14ac:dyDescent="0.35">
      <c r="A486" s="3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ht="15.75" customHeight="1" x14ac:dyDescent="0.35">
      <c r="A487" s="3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ht="15.75" customHeight="1" x14ac:dyDescent="0.35">
      <c r="A488" s="3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ht="15.75" customHeight="1" x14ac:dyDescent="0.35">
      <c r="A489" s="3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ht="15.75" customHeight="1" x14ac:dyDescent="0.35">
      <c r="A490" s="3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ht="15.75" customHeight="1" x14ac:dyDescent="0.35">
      <c r="A491" s="3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ht="15.75" customHeight="1" x14ac:dyDescent="0.35">
      <c r="A492" s="3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ht="15.75" customHeight="1" x14ac:dyDescent="0.35">
      <c r="A493" s="3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ht="15.75" customHeight="1" x14ac:dyDescent="0.35">
      <c r="A494" s="3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ht="15.75" customHeight="1" x14ac:dyDescent="0.35">
      <c r="A495" s="3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ht="15.75" customHeight="1" x14ac:dyDescent="0.35">
      <c r="A496" s="3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ht="15.75" customHeight="1" x14ac:dyDescent="0.35">
      <c r="A497" s="3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ht="15.75" customHeight="1" x14ac:dyDescent="0.35">
      <c r="A498" s="3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ht="15.75" customHeight="1" x14ac:dyDescent="0.35">
      <c r="A499" s="3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ht="15.75" customHeight="1" x14ac:dyDescent="0.35">
      <c r="A500" s="3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ht="15.75" customHeight="1" x14ac:dyDescent="0.35">
      <c r="A501" s="3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ht="15.75" customHeight="1" x14ac:dyDescent="0.35">
      <c r="A502" s="3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ht="15.75" customHeight="1" x14ac:dyDescent="0.35">
      <c r="A503" s="3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ht="15.75" customHeight="1" x14ac:dyDescent="0.35">
      <c r="A504" s="3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ht="15.75" customHeight="1" x14ac:dyDescent="0.35">
      <c r="A505" s="3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ht="15.75" customHeight="1" x14ac:dyDescent="0.35">
      <c r="A506" s="3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ht="15.75" customHeight="1" x14ac:dyDescent="0.35">
      <c r="A507" s="3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ht="15.75" customHeight="1" x14ac:dyDescent="0.35">
      <c r="A508" s="3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ht="15.75" customHeight="1" x14ac:dyDescent="0.35">
      <c r="A509" s="3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ht="15.75" customHeight="1" x14ac:dyDescent="0.35">
      <c r="A510" s="3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ht="15.75" customHeight="1" x14ac:dyDescent="0.35">
      <c r="A511" s="3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ht="15.75" customHeight="1" x14ac:dyDescent="0.35">
      <c r="A512" s="3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ht="15.75" customHeight="1" x14ac:dyDescent="0.35">
      <c r="A513" s="3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ht="15.75" customHeight="1" x14ac:dyDescent="0.35">
      <c r="A514" s="3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ht="15.75" customHeight="1" x14ac:dyDescent="0.35">
      <c r="A515" s="3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ht="15.75" customHeight="1" x14ac:dyDescent="0.35">
      <c r="A516" s="3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ht="15.75" customHeight="1" x14ac:dyDescent="0.35">
      <c r="A517" s="3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ht="15.75" customHeight="1" x14ac:dyDescent="0.35">
      <c r="A518" s="3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ht="15.75" customHeight="1" x14ac:dyDescent="0.35">
      <c r="A519" s="3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ht="15.75" customHeight="1" x14ac:dyDescent="0.35">
      <c r="A520" s="3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ht="15.75" customHeight="1" x14ac:dyDescent="0.35">
      <c r="A521" s="3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ht="15.75" customHeight="1" x14ac:dyDescent="0.35">
      <c r="A522" s="3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ht="15.75" customHeight="1" x14ac:dyDescent="0.35">
      <c r="A523" s="3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ht="15.75" customHeight="1" x14ac:dyDescent="0.35">
      <c r="A524" s="3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ht="15.75" customHeight="1" x14ac:dyDescent="0.35">
      <c r="A525" s="3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ht="15.75" customHeight="1" x14ac:dyDescent="0.35">
      <c r="A526" s="3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ht="15.75" customHeight="1" x14ac:dyDescent="0.35">
      <c r="A527" s="3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ht="15.75" customHeight="1" x14ac:dyDescent="0.35">
      <c r="A528" s="3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ht="15.75" customHeight="1" x14ac:dyDescent="0.35">
      <c r="A529" s="3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ht="15.75" customHeight="1" x14ac:dyDescent="0.35">
      <c r="A530" s="3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ht="15.75" customHeight="1" x14ac:dyDescent="0.35">
      <c r="A531" s="3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ht="15.75" customHeight="1" x14ac:dyDescent="0.35">
      <c r="A532" s="3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ht="15.75" customHeight="1" x14ac:dyDescent="0.35">
      <c r="A533" s="3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ht="15.75" customHeight="1" x14ac:dyDescent="0.35">
      <c r="A534" s="3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ht="15.75" customHeight="1" x14ac:dyDescent="0.35">
      <c r="A535" s="3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ht="15.75" customHeight="1" x14ac:dyDescent="0.35">
      <c r="A536" s="3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ht="15.75" customHeight="1" x14ac:dyDescent="0.35">
      <c r="A537" s="3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ht="15.75" customHeight="1" x14ac:dyDescent="0.35">
      <c r="A538" s="3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ht="15.75" customHeight="1" x14ac:dyDescent="0.35">
      <c r="A539" s="3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ht="15.75" customHeight="1" x14ac:dyDescent="0.35">
      <c r="A540" s="3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ht="15.75" customHeight="1" x14ac:dyDescent="0.35">
      <c r="A541" s="3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ht="15.75" customHeight="1" x14ac:dyDescent="0.35">
      <c r="A542" s="3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ht="15.75" customHeight="1" x14ac:dyDescent="0.35">
      <c r="A543" s="3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ht="15.75" customHeight="1" x14ac:dyDescent="0.35">
      <c r="A544" s="3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ht="15.75" customHeight="1" x14ac:dyDescent="0.35">
      <c r="A545" s="3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ht="15.75" customHeight="1" x14ac:dyDescent="0.35">
      <c r="A546" s="3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ht="15.75" customHeight="1" x14ac:dyDescent="0.35">
      <c r="A547" s="3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ht="15.75" customHeight="1" x14ac:dyDescent="0.35">
      <c r="A548" s="3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ht="15.75" customHeight="1" x14ac:dyDescent="0.35">
      <c r="A549" s="3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ht="15.75" customHeight="1" x14ac:dyDescent="0.35">
      <c r="A550" s="3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ht="15.75" customHeight="1" x14ac:dyDescent="0.35">
      <c r="A551" s="3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ht="15.75" customHeight="1" x14ac:dyDescent="0.35">
      <c r="A552" s="3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ht="15.75" customHeight="1" x14ac:dyDescent="0.35">
      <c r="A553" s="3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ht="15.75" customHeight="1" x14ac:dyDescent="0.35">
      <c r="A554" s="3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ht="15.75" customHeight="1" x14ac:dyDescent="0.35">
      <c r="A555" s="3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ht="15.75" customHeight="1" x14ac:dyDescent="0.35">
      <c r="A556" s="3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ht="15.75" customHeight="1" x14ac:dyDescent="0.35">
      <c r="A557" s="3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ht="15.75" customHeight="1" x14ac:dyDescent="0.35">
      <c r="A558" s="3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ht="15.75" customHeight="1" x14ac:dyDescent="0.35">
      <c r="A559" s="3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ht="15.75" customHeight="1" x14ac:dyDescent="0.35">
      <c r="A560" s="3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ht="15.75" customHeight="1" x14ac:dyDescent="0.35">
      <c r="A561" s="3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ht="15.75" customHeight="1" x14ac:dyDescent="0.35">
      <c r="A562" s="3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ht="15.75" customHeight="1" x14ac:dyDescent="0.35">
      <c r="A563" s="3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ht="15.75" customHeight="1" x14ac:dyDescent="0.35">
      <c r="A564" s="3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ht="15.75" customHeight="1" x14ac:dyDescent="0.35">
      <c r="A565" s="3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ht="15.75" customHeight="1" x14ac:dyDescent="0.35">
      <c r="A566" s="3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ht="15.75" customHeight="1" x14ac:dyDescent="0.35">
      <c r="A567" s="3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ht="15.75" customHeight="1" x14ac:dyDescent="0.35">
      <c r="A568" s="3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ht="15.75" customHeight="1" x14ac:dyDescent="0.35">
      <c r="A569" s="3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ht="15.75" customHeight="1" x14ac:dyDescent="0.35">
      <c r="A570" s="3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ht="15.75" customHeight="1" x14ac:dyDescent="0.35">
      <c r="A571" s="3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ht="15.75" customHeight="1" x14ac:dyDescent="0.35">
      <c r="A572" s="3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ht="15.75" customHeight="1" x14ac:dyDescent="0.35">
      <c r="A573" s="3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ht="15.75" customHeight="1" x14ac:dyDescent="0.35">
      <c r="A574" s="3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ht="15.75" customHeight="1" x14ac:dyDescent="0.35">
      <c r="A575" s="3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ht="15.75" customHeight="1" x14ac:dyDescent="0.35">
      <c r="A576" s="3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ht="15.75" customHeight="1" x14ac:dyDescent="0.35">
      <c r="A577" s="3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ht="15.75" customHeight="1" x14ac:dyDescent="0.35">
      <c r="A578" s="3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ht="15.75" customHeight="1" x14ac:dyDescent="0.35">
      <c r="A579" s="3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ht="15.75" customHeight="1" x14ac:dyDescent="0.35">
      <c r="A580" s="3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ht="15.75" customHeight="1" x14ac:dyDescent="0.35">
      <c r="A581" s="3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ht="15.75" customHeight="1" x14ac:dyDescent="0.35">
      <c r="A582" s="3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ht="15.75" customHeight="1" x14ac:dyDescent="0.35">
      <c r="A583" s="3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ht="15.75" customHeight="1" x14ac:dyDescent="0.35">
      <c r="A584" s="3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ht="15.75" customHeight="1" x14ac:dyDescent="0.35">
      <c r="A585" s="3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ht="15.75" customHeight="1" x14ac:dyDescent="0.35">
      <c r="A586" s="3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ht="15.75" customHeight="1" x14ac:dyDescent="0.35">
      <c r="A587" s="3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ht="15.75" customHeight="1" x14ac:dyDescent="0.35">
      <c r="A588" s="3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ht="15.75" customHeight="1" x14ac:dyDescent="0.35">
      <c r="A589" s="3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ht="15.75" customHeight="1" x14ac:dyDescent="0.35">
      <c r="A590" s="3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ht="15.75" customHeight="1" x14ac:dyDescent="0.35">
      <c r="A591" s="3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ht="15.75" customHeight="1" x14ac:dyDescent="0.35">
      <c r="A592" s="3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ht="15.75" customHeight="1" x14ac:dyDescent="0.35">
      <c r="A593" s="3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ht="15.75" customHeight="1" x14ac:dyDescent="0.35">
      <c r="A594" s="3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ht="15.75" customHeight="1" x14ac:dyDescent="0.35">
      <c r="A595" s="3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ht="15.75" customHeight="1" x14ac:dyDescent="0.35">
      <c r="A596" s="3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ht="15.75" customHeight="1" x14ac:dyDescent="0.35">
      <c r="A597" s="3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ht="15.75" customHeight="1" x14ac:dyDescent="0.35">
      <c r="A598" s="3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ht="15.75" customHeight="1" x14ac:dyDescent="0.35">
      <c r="A599" s="3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ht="15.75" customHeight="1" x14ac:dyDescent="0.35">
      <c r="A600" s="3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ht="15.75" customHeight="1" x14ac:dyDescent="0.35">
      <c r="A601" s="3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ht="15.75" customHeight="1" x14ac:dyDescent="0.35">
      <c r="A602" s="3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ht="15.75" customHeight="1" x14ac:dyDescent="0.35">
      <c r="A603" s="3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ht="15.75" customHeight="1" x14ac:dyDescent="0.35">
      <c r="A604" s="3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ht="15.75" customHeight="1" x14ac:dyDescent="0.35">
      <c r="A605" s="3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ht="15.75" customHeight="1" x14ac:dyDescent="0.35">
      <c r="A606" s="3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ht="15.75" customHeight="1" x14ac:dyDescent="0.35">
      <c r="A607" s="3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ht="15.75" customHeight="1" x14ac:dyDescent="0.35">
      <c r="A608" s="3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ht="15.75" customHeight="1" x14ac:dyDescent="0.35">
      <c r="A609" s="3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ht="15.75" customHeight="1" x14ac:dyDescent="0.35">
      <c r="A610" s="3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ht="15.75" customHeight="1" x14ac:dyDescent="0.35">
      <c r="A611" s="3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ht="15.75" customHeight="1" x14ac:dyDescent="0.35">
      <c r="A612" s="3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ht="15.75" customHeight="1" x14ac:dyDescent="0.35">
      <c r="A613" s="3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ht="15.75" customHeight="1" x14ac:dyDescent="0.35">
      <c r="A614" s="3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ht="15.75" customHeight="1" x14ac:dyDescent="0.35">
      <c r="A615" s="3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ht="15.75" customHeight="1" x14ac:dyDescent="0.35">
      <c r="A616" s="3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ht="15.75" customHeight="1" x14ac:dyDescent="0.35">
      <c r="A617" s="3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ht="15.75" customHeight="1" x14ac:dyDescent="0.35">
      <c r="A618" s="3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ht="15.75" customHeight="1" x14ac:dyDescent="0.35">
      <c r="A619" s="3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ht="15.75" customHeight="1" x14ac:dyDescent="0.35">
      <c r="A620" s="3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ht="15.75" customHeight="1" x14ac:dyDescent="0.35">
      <c r="A621" s="3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ht="15.75" customHeight="1" x14ac:dyDescent="0.35">
      <c r="A622" s="3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ht="15.75" customHeight="1" x14ac:dyDescent="0.35">
      <c r="A623" s="3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ht="15.75" customHeight="1" x14ac:dyDescent="0.35">
      <c r="A624" s="3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ht="15.75" customHeight="1" x14ac:dyDescent="0.35">
      <c r="A625" s="3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ht="15.75" customHeight="1" x14ac:dyDescent="0.35">
      <c r="A626" s="3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ht="15.75" customHeight="1" x14ac:dyDescent="0.35">
      <c r="A627" s="3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ht="15.75" customHeight="1" x14ac:dyDescent="0.35">
      <c r="A628" s="3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ht="15.75" customHeight="1" x14ac:dyDescent="0.35">
      <c r="A629" s="3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ht="15.75" customHeight="1" x14ac:dyDescent="0.35">
      <c r="A630" s="3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ht="15.75" customHeight="1" x14ac:dyDescent="0.35">
      <c r="A631" s="3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ht="15.75" customHeight="1" x14ac:dyDescent="0.35">
      <c r="A632" s="3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ht="15.75" customHeight="1" x14ac:dyDescent="0.35">
      <c r="A633" s="3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ht="15.75" customHeight="1" x14ac:dyDescent="0.35">
      <c r="A634" s="3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ht="15.75" customHeight="1" x14ac:dyDescent="0.35">
      <c r="A635" s="3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ht="15.75" customHeight="1" x14ac:dyDescent="0.35">
      <c r="A636" s="3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ht="15.75" customHeight="1" x14ac:dyDescent="0.35">
      <c r="A637" s="3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ht="15.75" customHeight="1" x14ac:dyDescent="0.35">
      <c r="A638" s="3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ht="15.75" customHeight="1" x14ac:dyDescent="0.35">
      <c r="A639" s="3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ht="15.75" customHeight="1" x14ac:dyDescent="0.35">
      <c r="A640" s="3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ht="15.75" customHeight="1" x14ac:dyDescent="0.35">
      <c r="A641" s="3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ht="15.75" customHeight="1" x14ac:dyDescent="0.35">
      <c r="A642" s="3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ht="15.75" customHeight="1" x14ac:dyDescent="0.35">
      <c r="A643" s="3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ht="15.75" customHeight="1" x14ac:dyDescent="0.35">
      <c r="A644" s="3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ht="15.75" customHeight="1" x14ac:dyDescent="0.35">
      <c r="A645" s="3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ht="15.75" customHeight="1" x14ac:dyDescent="0.35">
      <c r="A646" s="3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ht="15.75" customHeight="1" x14ac:dyDescent="0.35">
      <c r="A647" s="3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ht="15.75" customHeight="1" x14ac:dyDescent="0.35">
      <c r="A648" s="3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ht="15.75" customHeight="1" x14ac:dyDescent="0.35">
      <c r="A649" s="3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ht="15.75" customHeight="1" x14ac:dyDescent="0.35">
      <c r="A650" s="3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ht="15.75" customHeight="1" x14ac:dyDescent="0.35">
      <c r="A651" s="3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ht="15.75" customHeight="1" x14ac:dyDescent="0.35">
      <c r="A652" s="3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ht="15.75" customHeight="1" x14ac:dyDescent="0.35">
      <c r="A653" s="3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ht="15.75" customHeight="1" x14ac:dyDescent="0.35">
      <c r="A654" s="3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ht="15.75" customHeight="1" x14ac:dyDescent="0.35">
      <c r="A655" s="3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ht="15.75" customHeight="1" x14ac:dyDescent="0.35">
      <c r="A656" s="3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ht="15.75" customHeight="1" x14ac:dyDescent="0.35">
      <c r="A657" s="3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ht="15.75" customHeight="1" x14ac:dyDescent="0.35">
      <c r="A658" s="3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ht="15.75" customHeight="1" x14ac:dyDescent="0.35">
      <c r="A659" s="3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ht="15.75" customHeight="1" x14ac:dyDescent="0.35">
      <c r="A660" s="3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ht="15.75" customHeight="1" x14ac:dyDescent="0.35">
      <c r="A661" s="3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ht="15.75" customHeight="1" x14ac:dyDescent="0.35">
      <c r="A662" s="3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ht="15.75" customHeight="1" x14ac:dyDescent="0.35">
      <c r="A663" s="3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ht="15.75" customHeight="1" x14ac:dyDescent="0.35">
      <c r="A664" s="3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ht="15.75" customHeight="1" x14ac:dyDescent="0.35">
      <c r="A665" s="3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ht="15.75" customHeight="1" x14ac:dyDescent="0.35">
      <c r="A666" s="3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ht="15.75" customHeight="1" x14ac:dyDescent="0.35">
      <c r="A667" s="3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ht="15.75" customHeight="1" x14ac:dyDescent="0.35">
      <c r="A668" s="3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ht="15.75" customHeight="1" x14ac:dyDescent="0.35">
      <c r="A669" s="3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ht="15.75" customHeight="1" x14ac:dyDescent="0.35">
      <c r="A670" s="3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ht="15.75" customHeight="1" x14ac:dyDescent="0.35">
      <c r="A671" s="3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ht="15.75" customHeight="1" x14ac:dyDescent="0.35">
      <c r="A672" s="3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ht="15.75" customHeight="1" x14ac:dyDescent="0.35">
      <c r="A673" s="3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ht="15.75" customHeight="1" x14ac:dyDescent="0.35">
      <c r="A674" s="3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ht="15.75" customHeight="1" x14ac:dyDescent="0.35">
      <c r="A675" s="3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ht="15.75" customHeight="1" x14ac:dyDescent="0.35">
      <c r="A676" s="3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ht="15.75" customHeight="1" x14ac:dyDescent="0.35">
      <c r="A677" s="3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ht="15.75" customHeight="1" x14ac:dyDescent="0.35">
      <c r="A678" s="3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ht="15.75" customHeight="1" x14ac:dyDescent="0.35">
      <c r="A679" s="3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ht="15.75" customHeight="1" x14ac:dyDescent="0.35">
      <c r="A680" s="3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ht="15.75" customHeight="1" x14ac:dyDescent="0.35">
      <c r="A681" s="3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ht="15.75" customHeight="1" x14ac:dyDescent="0.35">
      <c r="A682" s="3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ht="15.75" customHeight="1" x14ac:dyDescent="0.35">
      <c r="A683" s="3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ht="15.75" customHeight="1" x14ac:dyDescent="0.35">
      <c r="A684" s="3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ht="15.75" customHeight="1" x14ac:dyDescent="0.35">
      <c r="A685" s="3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ht="15.75" customHeight="1" x14ac:dyDescent="0.35">
      <c r="A686" s="3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ht="15.75" customHeight="1" x14ac:dyDescent="0.35">
      <c r="A687" s="3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ht="15.75" customHeight="1" x14ac:dyDescent="0.35">
      <c r="A688" s="3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ht="15.75" customHeight="1" x14ac:dyDescent="0.35">
      <c r="A689" s="3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ht="15.75" customHeight="1" x14ac:dyDescent="0.35">
      <c r="A690" s="3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ht="15.75" customHeight="1" x14ac:dyDescent="0.35">
      <c r="A691" s="3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ht="15.75" customHeight="1" x14ac:dyDescent="0.35">
      <c r="A692" s="3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ht="15.75" customHeight="1" x14ac:dyDescent="0.35">
      <c r="A693" s="3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ht="15.75" customHeight="1" x14ac:dyDescent="0.35">
      <c r="A694" s="3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ht="15.75" customHeight="1" x14ac:dyDescent="0.35">
      <c r="A695" s="3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ht="15.75" customHeight="1" x14ac:dyDescent="0.35">
      <c r="A696" s="3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ht="15.75" customHeight="1" x14ac:dyDescent="0.35">
      <c r="A697" s="3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ht="15.75" customHeight="1" x14ac:dyDescent="0.35">
      <c r="A698" s="3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ht="15.75" customHeight="1" x14ac:dyDescent="0.35">
      <c r="A699" s="3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ht="15.75" customHeight="1" x14ac:dyDescent="0.35">
      <c r="A700" s="3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ht="15.75" customHeight="1" x14ac:dyDescent="0.35">
      <c r="A701" s="3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ht="15.75" customHeight="1" x14ac:dyDescent="0.35">
      <c r="A702" s="3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ht="15.75" customHeight="1" x14ac:dyDescent="0.35">
      <c r="A703" s="3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ht="15.75" customHeight="1" x14ac:dyDescent="0.35">
      <c r="A704" s="3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ht="15.75" customHeight="1" x14ac:dyDescent="0.35">
      <c r="A705" s="3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ht="15.75" customHeight="1" x14ac:dyDescent="0.35">
      <c r="A706" s="3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ht="15.75" customHeight="1" x14ac:dyDescent="0.35">
      <c r="A707" s="3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ht="15.75" customHeight="1" x14ac:dyDescent="0.35">
      <c r="A708" s="3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ht="15.75" customHeight="1" x14ac:dyDescent="0.35">
      <c r="A709" s="3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ht="15.75" customHeight="1" x14ac:dyDescent="0.35">
      <c r="A710" s="3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ht="15.75" customHeight="1" x14ac:dyDescent="0.35">
      <c r="A711" s="3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ht="15.75" customHeight="1" x14ac:dyDescent="0.35">
      <c r="A712" s="3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ht="15.75" customHeight="1" x14ac:dyDescent="0.35">
      <c r="A713" s="3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ht="15.75" customHeight="1" x14ac:dyDescent="0.35">
      <c r="A714" s="3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ht="15.75" customHeight="1" x14ac:dyDescent="0.35">
      <c r="A715" s="3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ht="15.75" customHeight="1" x14ac:dyDescent="0.35">
      <c r="A716" s="3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ht="15.75" customHeight="1" x14ac:dyDescent="0.35">
      <c r="A717" s="3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ht="15.75" customHeight="1" x14ac:dyDescent="0.35">
      <c r="A718" s="3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ht="15.75" customHeight="1" x14ac:dyDescent="0.35">
      <c r="A719" s="3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ht="15.75" customHeight="1" x14ac:dyDescent="0.35">
      <c r="A720" s="3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ht="15.75" customHeight="1" x14ac:dyDescent="0.35">
      <c r="A721" s="3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ht="15.75" customHeight="1" x14ac:dyDescent="0.35">
      <c r="A722" s="3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ht="15.75" customHeight="1" x14ac:dyDescent="0.35">
      <c r="A723" s="3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ht="15.75" customHeight="1" x14ac:dyDescent="0.35">
      <c r="A724" s="3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ht="15.75" customHeight="1" x14ac:dyDescent="0.35">
      <c r="A725" s="3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ht="15.75" customHeight="1" x14ac:dyDescent="0.35">
      <c r="A726" s="3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ht="15.75" customHeight="1" x14ac:dyDescent="0.35">
      <c r="A727" s="3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ht="15.75" customHeight="1" x14ac:dyDescent="0.35">
      <c r="A728" s="3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ht="15.75" customHeight="1" x14ac:dyDescent="0.35">
      <c r="A729" s="3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ht="15.75" customHeight="1" x14ac:dyDescent="0.35">
      <c r="A730" s="3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ht="15.75" customHeight="1" x14ac:dyDescent="0.35">
      <c r="A731" s="3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ht="15.75" customHeight="1" x14ac:dyDescent="0.35">
      <c r="A732" s="3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ht="15.75" customHeight="1" x14ac:dyDescent="0.35">
      <c r="A733" s="3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ht="15.75" customHeight="1" x14ac:dyDescent="0.35">
      <c r="A734" s="3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ht="15.75" customHeight="1" x14ac:dyDescent="0.35">
      <c r="A735" s="3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ht="15.75" customHeight="1" x14ac:dyDescent="0.35">
      <c r="A736" s="3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ht="15.75" customHeight="1" x14ac:dyDescent="0.35">
      <c r="A737" s="3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ht="15.75" customHeight="1" x14ac:dyDescent="0.35">
      <c r="A738" s="3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ht="15.75" customHeight="1" x14ac:dyDescent="0.35">
      <c r="A739" s="3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ht="15.75" customHeight="1" x14ac:dyDescent="0.35">
      <c r="A740" s="3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ht="15.75" customHeight="1" x14ac:dyDescent="0.35">
      <c r="A741" s="3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ht="15.75" customHeight="1" x14ac:dyDescent="0.35">
      <c r="A742" s="3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ht="15.75" customHeight="1" x14ac:dyDescent="0.35">
      <c r="A743" s="3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ht="15.75" customHeight="1" x14ac:dyDescent="0.35">
      <c r="A744" s="3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ht="15.75" customHeight="1" x14ac:dyDescent="0.35">
      <c r="A745" s="3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ht="15.75" customHeight="1" x14ac:dyDescent="0.35">
      <c r="A746" s="3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ht="15.75" customHeight="1" x14ac:dyDescent="0.35">
      <c r="A747" s="3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ht="15.75" customHeight="1" x14ac:dyDescent="0.35">
      <c r="A748" s="3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ht="15.75" customHeight="1" x14ac:dyDescent="0.35">
      <c r="A749" s="3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ht="15.75" customHeight="1" x14ac:dyDescent="0.35">
      <c r="A750" s="3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ht="15.75" customHeight="1" x14ac:dyDescent="0.35">
      <c r="A751" s="3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ht="15.75" customHeight="1" x14ac:dyDescent="0.35">
      <c r="A752" s="3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ht="15.75" customHeight="1" x14ac:dyDescent="0.35">
      <c r="A753" s="3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ht="15.75" customHeight="1" x14ac:dyDescent="0.35">
      <c r="A754" s="3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ht="15.75" customHeight="1" x14ac:dyDescent="0.35">
      <c r="A755" s="3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ht="15.75" customHeight="1" x14ac:dyDescent="0.35">
      <c r="A756" s="3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ht="15.75" customHeight="1" x14ac:dyDescent="0.35">
      <c r="A757" s="3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ht="15.75" customHeight="1" x14ac:dyDescent="0.35">
      <c r="A758" s="3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ht="15.75" customHeight="1" x14ac:dyDescent="0.35">
      <c r="A759" s="3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ht="15.75" customHeight="1" x14ac:dyDescent="0.35">
      <c r="A760" s="3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ht="15.75" customHeight="1" x14ac:dyDescent="0.35">
      <c r="A761" s="3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ht="15.75" customHeight="1" x14ac:dyDescent="0.35">
      <c r="A762" s="3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ht="15.75" customHeight="1" x14ac:dyDescent="0.35">
      <c r="A763" s="3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ht="15.75" customHeight="1" x14ac:dyDescent="0.35">
      <c r="A764" s="3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ht="15.75" customHeight="1" x14ac:dyDescent="0.35">
      <c r="A765" s="3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ht="15.75" customHeight="1" x14ac:dyDescent="0.35">
      <c r="A766" s="3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ht="15.75" customHeight="1" x14ac:dyDescent="0.35">
      <c r="A767" s="3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ht="15.75" customHeight="1" x14ac:dyDescent="0.35">
      <c r="A768" s="3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ht="15.75" customHeight="1" x14ac:dyDescent="0.35">
      <c r="A769" s="3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ht="15.75" customHeight="1" x14ac:dyDescent="0.35">
      <c r="A770" s="3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ht="15.75" customHeight="1" x14ac:dyDescent="0.35">
      <c r="A771" s="3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ht="15.75" customHeight="1" x14ac:dyDescent="0.35">
      <c r="A772" s="3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ht="15.75" customHeight="1" x14ac:dyDescent="0.35">
      <c r="A773" s="3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ht="15.75" customHeight="1" x14ac:dyDescent="0.35">
      <c r="A774" s="3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ht="15.75" customHeight="1" x14ac:dyDescent="0.35">
      <c r="A775" s="3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ht="15.75" customHeight="1" x14ac:dyDescent="0.35">
      <c r="A776" s="3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ht="15.75" customHeight="1" x14ac:dyDescent="0.35">
      <c r="A777" s="3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ht="15.75" customHeight="1" x14ac:dyDescent="0.35">
      <c r="A778" s="3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ht="15.75" customHeight="1" x14ac:dyDescent="0.35">
      <c r="A779" s="3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ht="15.75" customHeight="1" x14ac:dyDescent="0.35">
      <c r="A780" s="3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ht="15.75" customHeight="1" x14ac:dyDescent="0.35">
      <c r="A781" s="3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ht="15.75" customHeight="1" x14ac:dyDescent="0.35">
      <c r="A782" s="3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ht="15.75" customHeight="1" x14ac:dyDescent="0.35">
      <c r="A783" s="3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ht="15.75" customHeight="1" x14ac:dyDescent="0.35">
      <c r="A784" s="3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ht="15.75" customHeight="1" x14ac:dyDescent="0.35">
      <c r="A785" s="3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ht="15.75" customHeight="1" x14ac:dyDescent="0.35">
      <c r="A786" s="3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ht="15.75" customHeight="1" x14ac:dyDescent="0.35">
      <c r="A787" s="3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ht="15.75" customHeight="1" x14ac:dyDescent="0.35">
      <c r="A788" s="3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ht="15.75" customHeight="1" x14ac:dyDescent="0.35">
      <c r="A789" s="3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ht="15.75" customHeight="1" x14ac:dyDescent="0.35">
      <c r="A790" s="3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ht="15.75" customHeight="1" x14ac:dyDescent="0.35">
      <c r="A791" s="3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ht="15.75" customHeight="1" x14ac:dyDescent="0.35">
      <c r="A792" s="3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ht="15.75" customHeight="1" x14ac:dyDescent="0.35">
      <c r="A793" s="3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ht="15.75" customHeight="1" x14ac:dyDescent="0.35">
      <c r="A794" s="3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ht="15.75" customHeight="1" x14ac:dyDescent="0.35">
      <c r="A795" s="3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ht="15.75" customHeight="1" x14ac:dyDescent="0.35">
      <c r="A796" s="3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ht="15.75" customHeight="1" x14ac:dyDescent="0.35">
      <c r="A797" s="3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ht="15.75" customHeight="1" x14ac:dyDescent="0.35">
      <c r="A798" s="3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ht="15.75" customHeight="1" x14ac:dyDescent="0.35">
      <c r="A799" s="3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ht="15.75" customHeight="1" x14ac:dyDescent="0.35">
      <c r="A800" s="3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ht="15.75" customHeight="1" x14ac:dyDescent="0.35">
      <c r="A801" s="3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ht="15.75" customHeight="1" x14ac:dyDescent="0.35">
      <c r="A802" s="3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ht="15.75" customHeight="1" x14ac:dyDescent="0.35">
      <c r="A803" s="3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ht="15.75" customHeight="1" x14ac:dyDescent="0.35">
      <c r="A804" s="3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ht="15.75" customHeight="1" x14ac:dyDescent="0.35">
      <c r="A805" s="3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ht="15.75" customHeight="1" x14ac:dyDescent="0.35">
      <c r="A806" s="3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ht="15.75" customHeight="1" x14ac:dyDescent="0.35">
      <c r="A807" s="3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ht="15.75" customHeight="1" x14ac:dyDescent="0.35">
      <c r="A808" s="3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ht="15.75" customHeight="1" x14ac:dyDescent="0.35">
      <c r="A809" s="3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ht="15.75" customHeight="1" x14ac:dyDescent="0.35">
      <c r="A810" s="3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ht="15.75" customHeight="1" x14ac:dyDescent="0.35">
      <c r="A811" s="3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ht="15.75" customHeight="1" x14ac:dyDescent="0.35">
      <c r="A812" s="3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ht="15.75" customHeight="1" x14ac:dyDescent="0.35">
      <c r="A813" s="3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ht="15.75" customHeight="1" x14ac:dyDescent="0.35">
      <c r="A814" s="3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ht="15.75" customHeight="1" x14ac:dyDescent="0.35">
      <c r="A815" s="3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ht="15.75" customHeight="1" x14ac:dyDescent="0.35">
      <c r="A816" s="3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ht="15.75" customHeight="1" x14ac:dyDescent="0.35">
      <c r="A817" s="3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ht="15.75" customHeight="1" x14ac:dyDescent="0.35">
      <c r="A818" s="3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ht="15.75" customHeight="1" x14ac:dyDescent="0.35">
      <c r="A819" s="3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ht="15.75" customHeight="1" x14ac:dyDescent="0.35">
      <c r="A820" s="3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ht="15.75" customHeight="1" x14ac:dyDescent="0.35">
      <c r="A821" s="3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ht="15.75" customHeight="1" x14ac:dyDescent="0.35">
      <c r="A822" s="3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ht="15.75" customHeight="1" x14ac:dyDescent="0.35">
      <c r="A823" s="3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ht="15.75" customHeight="1" x14ac:dyDescent="0.35">
      <c r="A824" s="3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ht="15.75" customHeight="1" x14ac:dyDescent="0.35">
      <c r="A825" s="3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ht="15.75" customHeight="1" x14ac:dyDescent="0.35">
      <c r="A826" s="3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ht="15.75" customHeight="1" x14ac:dyDescent="0.35">
      <c r="A827" s="3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ht="15.75" customHeight="1" x14ac:dyDescent="0.35">
      <c r="A828" s="3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ht="15.75" customHeight="1" x14ac:dyDescent="0.35">
      <c r="A829" s="3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ht="15.75" customHeight="1" x14ac:dyDescent="0.35">
      <c r="A830" s="3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ht="15.75" customHeight="1" x14ac:dyDescent="0.35">
      <c r="A831" s="3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ht="15.75" customHeight="1" x14ac:dyDescent="0.35">
      <c r="A832" s="3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ht="15.75" customHeight="1" x14ac:dyDescent="0.35">
      <c r="A833" s="3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ht="15.75" customHeight="1" x14ac:dyDescent="0.35">
      <c r="A834" s="3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ht="15.75" customHeight="1" x14ac:dyDescent="0.35">
      <c r="A835" s="3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ht="15.75" customHeight="1" x14ac:dyDescent="0.35">
      <c r="A836" s="3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ht="15.75" customHeight="1" x14ac:dyDescent="0.35">
      <c r="A837" s="3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ht="15.75" customHeight="1" x14ac:dyDescent="0.35">
      <c r="A838" s="3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ht="15.75" customHeight="1" x14ac:dyDescent="0.35">
      <c r="A839" s="3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ht="15.75" customHeight="1" x14ac:dyDescent="0.35">
      <c r="A840" s="3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ht="15.75" customHeight="1" x14ac:dyDescent="0.35">
      <c r="A841" s="3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ht="15.75" customHeight="1" x14ac:dyDescent="0.35">
      <c r="A842" s="3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ht="15.75" customHeight="1" x14ac:dyDescent="0.35">
      <c r="A843" s="3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ht="15.75" customHeight="1" x14ac:dyDescent="0.35">
      <c r="A844" s="3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ht="15.75" customHeight="1" x14ac:dyDescent="0.35">
      <c r="A845" s="3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ht="15.75" customHeight="1" x14ac:dyDescent="0.35">
      <c r="A846" s="3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ht="15.75" customHeight="1" x14ac:dyDescent="0.35">
      <c r="A847" s="3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ht="15.75" customHeight="1" x14ac:dyDescent="0.35">
      <c r="A848" s="3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ht="15.75" customHeight="1" x14ac:dyDescent="0.35">
      <c r="A849" s="3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ht="15.75" customHeight="1" x14ac:dyDescent="0.35">
      <c r="A850" s="3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ht="15.75" customHeight="1" x14ac:dyDescent="0.35">
      <c r="A851" s="3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ht="15.75" customHeight="1" x14ac:dyDescent="0.35">
      <c r="A852" s="3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ht="15.75" customHeight="1" x14ac:dyDescent="0.35">
      <c r="A853" s="3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ht="15.75" customHeight="1" x14ac:dyDescent="0.35">
      <c r="A854" s="3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ht="15.75" customHeight="1" x14ac:dyDescent="0.35">
      <c r="A855" s="3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ht="15.75" customHeight="1" x14ac:dyDescent="0.35">
      <c r="A856" s="3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ht="15.75" customHeight="1" x14ac:dyDescent="0.35">
      <c r="A857" s="3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ht="15.75" customHeight="1" x14ac:dyDescent="0.35">
      <c r="A858" s="3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ht="15.75" customHeight="1" x14ac:dyDescent="0.35">
      <c r="A859" s="3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ht="15.75" customHeight="1" x14ac:dyDescent="0.35">
      <c r="A860" s="3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ht="15.75" customHeight="1" x14ac:dyDescent="0.35">
      <c r="A861" s="3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ht="15.75" customHeight="1" x14ac:dyDescent="0.35">
      <c r="A862" s="3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ht="15.75" customHeight="1" x14ac:dyDescent="0.35">
      <c r="A863" s="3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ht="15.75" customHeight="1" x14ac:dyDescent="0.35">
      <c r="A864" s="3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ht="15.75" customHeight="1" x14ac:dyDescent="0.35">
      <c r="A865" s="3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ht="15.75" customHeight="1" x14ac:dyDescent="0.35">
      <c r="A866" s="3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ht="15.75" customHeight="1" x14ac:dyDescent="0.35">
      <c r="A867" s="3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ht="15.75" customHeight="1" x14ac:dyDescent="0.35">
      <c r="A868" s="3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ht="15.75" customHeight="1" x14ac:dyDescent="0.35">
      <c r="A869" s="3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ht="15.75" customHeight="1" x14ac:dyDescent="0.35">
      <c r="A870" s="3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ht="15.75" customHeight="1" x14ac:dyDescent="0.35">
      <c r="A871" s="3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ht="15.75" customHeight="1" x14ac:dyDescent="0.35">
      <c r="A872" s="3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ht="15.75" customHeight="1" x14ac:dyDescent="0.35">
      <c r="A873" s="3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ht="15.75" customHeight="1" x14ac:dyDescent="0.35">
      <c r="A874" s="3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ht="15.75" customHeight="1" x14ac:dyDescent="0.35">
      <c r="A875" s="3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ht="15.75" customHeight="1" x14ac:dyDescent="0.35">
      <c r="A876" s="3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ht="15.75" customHeight="1" x14ac:dyDescent="0.35">
      <c r="A877" s="3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ht="15.75" customHeight="1" x14ac:dyDescent="0.35">
      <c r="A878" s="3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ht="15.75" customHeight="1" x14ac:dyDescent="0.35">
      <c r="A879" s="3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ht="15.75" customHeight="1" x14ac:dyDescent="0.35">
      <c r="A880" s="3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ht="15.75" customHeight="1" x14ac:dyDescent="0.35">
      <c r="A881" s="3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ht="15.75" customHeight="1" x14ac:dyDescent="0.35">
      <c r="A882" s="3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ht="15.75" customHeight="1" x14ac:dyDescent="0.35">
      <c r="A883" s="3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ht="15.75" customHeight="1" x14ac:dyDescent="0.35">
      <c r="A884" s="3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ht="15.75" customHeight="1" x14ac:dyDescent="0.35">
      <c r="A885" s="3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ht="15.75" customHeight="1" x14ac:dyDescent="0.35">
      <c r="A886" s="3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ht="15.75" customHeight="1" x14ac:dyDescent="0.35">
      <c r="A887" s="3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ht="15.75" customHeight="1" x14ac:dyDescent="0.35">
      <c r="A888" s="3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ht="15.75" customHeight="1" x14ac:dyDescent="0.35">
      <c r="A889" s="3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ht="15.75" customHeight="1" x14ac:dyDescent="0.35">
      <c r="A890" s="3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ht="15.75" customHeight="1" x14ac:dyDescent="0.35">
      <c r="A891" s="3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ht="15.75" customHeight="1" x14ac:dyDescent="0.35">
      <c r="A892" s="3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ht="15.75" customHeight="1" x14ac:dyDescent="0.35">
      <c r="A893" s="3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ht="15.75" customHeight="1" x14ac:dyDescent="0.35">
      <c r="A894" s="3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ht="15.75" customHeight="1" x14ac:dyDescent="0.35">
      <c r="A895" s="3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ht="15.75" customHeight="1" x14ac:dyDescent="0.35">
      <c r="A896" s="3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ht="15.75" customHeight="1" x14ac:dyDescent="0.35">
      <c r="A897" s="3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ht="15.75" customHeight="1" x14ac:dyDescent="0.35">
      <c r="A898" s="3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ht="15.75" customHeight="1" x14ac:dyDescent="0.35">
      <c r="A899" s="3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ht="15.75" customHeight="1" x14ac:dyDescent="0.35">
      <c r="A900" s="3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ht="15.75" customHeight="1" x14ac:dyDescent="0.35">
      <c r="A901" s="3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ht="15.75" customHeight="1" x14ac:dyDescent="0.35">
      <c r="A902" s="3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ht="15.75" customHeight="1" x14ac:dyDescent="0.35">
      <c r="A903" s="3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ht="15.75" customHeight="1" x14ac:dyDescent="0.35">
      <c r="A904" s="3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ht="15.75" customHeight="1" x14ac:dyDescent="0.35">
      <c r="A905" s="3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ht="15.75" customHeight="1" x14ac:dyDescent="0.35">
      <c r="A906" s="3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ht="15.75" customHeight="1" x14ac:dyDescent="0.35">
      <c r="A907" s="3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ht="15.75" customHeight="1" x14ac:dyDescent="0.35">
      <c r="A908" s="3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ht="15.75" customHeight="1" x14ac:dyDescent="0.35">
      <c r="A909" s="3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ht="15.75" customHeight="1" x14ac:dyDescent="0.35">
      <c r="A910" s="3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ht="15.75" customHeight="1" x14ac:dyDescent="0.35">
      <c r="A911" s="3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ht="15.75" customHeight="1" x14ac:dyDescent="0.35">
      <c r="A912" s="3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ht="15.75" customHeight="1" x14ac:dyDescent="0.35">
      <c r="A913" s="3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ht="15.75" customHeight="1" x14ac:dyDescent="0.35">
      <c r="A914" s="3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ht="15.75" customHeight="1" x14ac:dyDescent="0.35">
      <c r="A915" s="3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ht="15.75" customHeight="1" x14ac:dyDescent="0.35">
      <c r="A916" s="3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ht="15.75" customHeight="1" x14ac:dyDescent="0.35">
      <c r="A917" s="3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ht="15.75" customHeight="1" x14ac:dyDescent="0.35">
      <c r="A918" s="3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ht="15.75" customHeight="1" x14ac:dyDescent="0.35">
      <c r="A919" s="3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ht="15.75" customHeight="1" x14ac:dyDescent="0.35">
      <c r="A920" s="3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ht="15.75" customHeight="1" x14ac:dyDescent="0.35">
      <c r="A921" s="3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ht="15.75" customHeight="1" x14ac:dyDescent="0.35">
      <c r="A922" s="3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ht="15.75" customHeight="1" x14ac:dyDescent="0.35">
      <c r="A923" s="3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ht="15.75" customHeight="1" x14ac:dyDescent="0.35">
      <c r="A924" s="3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ht="15.75" customHeight="1" x14ac:dyDescent="0.35">
      <c r="A925" s="3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ht="15.75" customHeight="1" x14ac:dyDescent="0.35">
      <c r="A926" s="3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ht="15.75" customHeight="1" x14ac:dyDescent="0.35">
      <c r="A927" s="3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ht="15.75" customHeight="1" x14ac:dyDescent="0.35">
      <c r="A928" s="3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ht="15.75" customHeight="1" x14ac:dyDescent="0.35">
      <c r="A929" s="3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ht="15.75" customHeight="1" x14ac:dyDescent="0.35">
      <c r="A930" s="3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ht="15.75" customHeight="1" x14ac:dyDescent="0.35">
      <c r="A931" s="3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ht="15.75" customHeight="1" x14ac:dyDescent="0.35">
      <c r="A932" s="3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ht="15.75" customHeight="1" x14ac:dyDescent="0.35">
      <c r="A933" s="3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ht="15.75" customHeight="1" x14ac:dyDescent="0.35">
      <c r="A934" s="3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ht="15.75" customHeight="1" x14ac:dyDescent="0.35">
      <c r="A935" s="3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ht="15.75" customHeight="1" x14ac:dyDescent="0.35">
      <c r="A936" s="3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ht="15.75" customHeight="1" x14ac:dyDescent="0.35">
      <c r="A937" s="3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ht="15.75" customHeight="1" x14ac:dyDescent="0.35">
      <c r="A938" s="3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ht="15.75" customHeight="1" x14ac:dyDescent="0.35">
      <c r="A939" s="3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ht="15.75" customHeight="1" x14ac:dyDescent="0.35">
      <c r="A940" s="3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ht="15.75" customHeight="1" x14ac:dyDescent="0.35">
      <c r="A941" s="3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ht="15.75" customHeight="1" x14ac:dyDescent="0.35">
      <c r="A942" s="3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ht="15.75" customHeight="1" x14ac:dyDescent="0.35">
      <c r="A943" s="3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ht="15.75" customHeight="1" x14ac:dyDescent="0.35">
      <c r="A944" s="3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ht="15.75" customHeight="1" x14ac:dyDescent="0.35">
      <c r="A945" s="3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ht="15.75" customHeight="1" x14ac:dyDescent="0.35">
      <c r="A946" s="3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ht="15.75" customHeight="1" x14ac:dyDescent="0.35">
      <c r="A947" s="3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ht="15.75" customHeight="1" x14ac:dyDescent="0.35">
      <c r="A948" s="3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ht="15.75" customHeight="1" x14ac:dyDescent="0.35">
      <c r="A949" s="3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ht="15.75" customHeight="1" x14ac:dyDescent="0.35">
      <c r="A950" s="3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ht="15.75" customHeight="1" x14ac:dyDescent="0.35">
      <c r="A951" s="3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ht="15.75" customHeight="1" x14ac:dyDescent="0.35">
      <c r="A952" s="3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ht="15.75" customHeight="1" x14ac:dyDescent="0.35">
      <c r="A953" s="3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ht="15.75" customHeight="1" x14ac:dyDescent="0.35">
      <c r="A954" s="3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ht="15.75" customHeight="1" x14ac:dyDescent="0.35">
      <c r="A955" s="3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ht="15.75" customHeight="1" x14ac:dyDescent="0.35">
      <c r="A956" s="3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ht="15.75" customHeight="1" x14ac:dyDescent="0.35">
      <c r="A957" s="3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ht="15.75" customHeight="1" x14ac:dyDescent="0.35">
      <c r="A958" s="3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ht="15.75" customHeight="1" x14ac:dyDescent="0.35">
      <c r="A959" s="3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ht="15.75" customHeight="1" x14ac:dyDescent="0.35">
      <c r="A960" s="3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ht="15.75" customHeight="1" x14ac:dyDescent="0.35">
      <c r="A961" s="3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ht="15.75" customHeight="1" x14ac:dyDescent="0.35">
      <c r="A962" s="3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ht="15.75" customHeight="1" x14ac:dyDescent="0.35">
      <c r="A963" s="3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ht="15.75" customHeight="1" x14ac:dyDescent="0.35">
      <c r="A964" s="3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ht="15.75" customHeight="1" x14ac:dyDescent="0.35">
      <c r="A965" s="3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ht="15.75" customHeight="1" x14ac:dyDescent="0.35">
      <c r="A966" s="3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ht="15.75" customHeight="1" x14ac:dyDescent="0.35">
      <c r="A967" s="3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ht="15.75" customHeight="1" x14ac:dyDescent="0.35">
      <c r="A968" s="3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ht="15.75" customHeight="1" x14ac:dyDescent="0.35">
      <c r="A969" s="3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ht="15.75" customHeight="1" x14ac:dyDescent="0.35">
      <c r="A970" s="3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ht="15.75" customHeight="1" x14ac:dyDescent="0.35">
      <c r="A971" s="3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ht="15.75" customHeight="1" x14ac:dyDescent="0.35">
      <c r="A972" s="3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ht="15.75" customHeight="1" x14ac:dyDescent="0.35">
      <c r="A973" s="3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ht="15.75" customHeight="1" x14ac:dyDescent="0.35">
      <c r="A974" s="3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ht="15.75" customHeight="1" x14ac:dyDescent="0.35">
      <c r="A975" s="3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ht="15.75" customHeight="1" x14ac:dyDescent="0.35">
      <c r="A976" s="3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ht="15.75" customHeight="1" x14ac:dyDescent="0.35">
      <c r="A977" s="3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ht="15.75" customHeight="1" x14ac:dyDescent="0.35">
      <c r="A978" s="3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ht="15.75" customHeight="1" x14ac:dyDescent="0.35">
      <c r="A979" s="3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ht="15.75" customHeight="1" x14ac:dyDescent="0.35">
      <c r="A980" s="3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ht="15.75" customHeight="1" x14ac:dyDescent="0.35">
      <c r="A981" s="3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ht="15.75" customHeight="1" x14ac:dyDescent="0.35">
      <c r="A982" s="3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ht="15.75" customHeight="1" x14ac:dyDescent="0.35">
      <c r="A983" s="3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ht="15.75" customHeight="1" x14ac:dyDescent="0.35">
      <c r="A984" s="3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ht="15.75" customHeight="1" x14ac:dyDescent="0.35">
      <c r="A985" s="3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ht="15.75" customHeight="1" x14ac:dyDescent="0.35">
      <c r="A986" s="3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ht="15.75" customHeight="1" x14ac:dyDescent="0.35">
      <c r="A987" s="3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ht="15.75" customHeight="1" x14ac:dyDescent="0.35">
      <c r="A988" s="3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ht="15.75" customHeight="1" x14ac:dyDescent="0.35">
      <c r="A989" s="3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ht="15.75" customHeight="1" x14ac:dyDescent="0.35">
      <c r="A990" s="3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ht="15.75" customHeight="1" x14ac:dyDescent="0.35">
      <c r="A991" s="3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ht="15.75" customHeight="1" x14ac:dyDescent="0.35">
      <c r="A992" s="3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ht="15.75" customHeight="1" x14ac:dyDescent="0.35">
      <c r="A993" s="3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ht="15.75" customHeight="1" x14ac:dyDescent="0.35">
      <c r="A994" s="3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ht="15.75" customHeight="1" x14ac:dyDescent="0.35">
      <c r="A995" s="3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ht="15.75" customHeight="1" x14ac:dyDescent="0.35">
      <c r="A996" s="3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ht="15.75" customHeight="1" x14ac:dyDescent="0.35">
      <c r="A997" s="3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ht="15.75" customHeight="1" x14ac:dyDescent="0.35">
      <c r="A998" s="3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ht="15.75" customHeight="1" x14ac:dyDescent="0.35">
      <c r="A999" s="3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ht="15.75" customHeight="1" x14ac:dyDescent="0.35">
      <c r="A1000" s="3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</sheetData>
  <autoFilter ref="A1:AQ136" xr:uid="{00000000-0001-0000-0200-000000000000}">
    <filterColumn colId="42">
      <filters>
        <filter val="Africa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ranking_and_scores</vt:lpstr>
      <vt:lpstr>country_classifications</vt:lpstr>
      <vt:lpstr>pillar_scores_by_dimension</vt:lpstr>
      <vt:lpstr>all_indicators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kehinde adekola</cp:lastModifiedBy>
  <dcterms:created xsi:type="dcterms:W3CDTF">2026-07-06T02:24:25Z</dcterms:created>
  <dcterms:modified xsi:type="dcterms:W3CDTF">2026-10-20T23:14:25Z</dcterms:modified>
</cp:coreProperties>
</file>